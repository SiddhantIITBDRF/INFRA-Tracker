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itbacr-my.sharepoint.com/personal/siddhant_gupta_iitbacr_com/Documents/"/>
    </mc:Choice>
  </mc:AlternateContent>
  <xr:revisionPtr revIDLastSave="2" documentId="8_{88D8CC34-4F9F-4A4A-8D44-09E55083B0A6}" xr6:coauthVersionLast="47" xr6:coauthVersionMax="47" xr10:uidLastSave="{02CC696E-5265-44D8-BD5A-BB927FC28E3F}"/>
  <bookViews>
    <workbookView xWindow="-110" yWindow="-110" windowWidth="19420" windowHeight="10300" tabRatio="589" firstSheet="2" activeTab="1" xr2:uid="{00000000-000D-0000-FFFF-FFFF00000000}"/>
  </bookViews>
  <sheets>
    <sheet name="Sheet4" sheetId="17" r:id="rId1"/>
    <sheet name="Projects Tracker" sheetId="1" r:id="rId2"/>
    <sheet name="Progress- Gant" sheetId="14" r:id="rId3"/>
    <sheet name="Sheet1" sheetId="15" r:id="rId4"/>
    <sheet name="N- Finances" sheetId="16" r:id="rId5"/>
    <sheet name="Financials" sheetId="2" r:id="rId6"/>
    <sheet name="Milestones" sheetId="3" r:id="rId7"/>
    <sheet name="Data- Projects" sheetId="9" r:id="rId8"/>
    <sheet name="Data- WBS" sheetId="10" r:id="rId9"/>
    <sheet name="Floor Plan" sheetId="4" r:id="rId10"/>
    <sheet name="Risks &amp; Issues" sheetId="5" r:id="rId11"/>
    <sheet name="Contacts &amp; Approvals" sheetId="6" r:id="rId12"/>
    <sheet name="Document Links" sheetId="7" r:id="rId13"/>
    <sheet name="Rough" sheetId="8" r:id="rId14"/>
    <sheet name="Sheet3" sheetId="11" r:id="rId15"/>
    <sheet name="Sheet2" sheetId="13" r:id="rId16"/>
  </sheets>
  <externalReferences>
    <externalReference r:id="rId17"/>
  </externalReferences>
  <definedNames>
    <definedName name="_xlnm._FilterDatabase" localSheetId="1" hidden="1">'Projects Tracker'!$A$1:$AH$29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I8" i="1"/>
  <c r="I6" i="1"/>
  <c r="I28" i="1"/>
  <c r="I29" i="1"/>
  <c r="I30" i="1"/>
  <c r="I31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" i="1"/>
  <c r="I4" i="1"/>
  <c r="I5" i="1"/>
  <c r="I7" i="1"/>
  <c r="I9" i="1"/>
  <c r="I10" i="1"/>
  <c r="I11" i="1"/>
  <c r="B1" i="11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U22" i="1"/>
  <c r="C58" i="13" l="1"/>
  <c r="E56" i="13"/>
  <c r="G56" i="13" s="1"/>
  <c r="C56" i="13"/>
  <c r="F55" i="13"/>
  <c r="E55" i="13"/>
  <c r="F54" i="13"/>
  <c r="E54" i="13"/>
  <c r="F46" i="13"/>
  <c r="C57" i="13" s="1"/>
  <c r="D46" i="13"/>
  <c r="C49" i="13" s="1"/>
  <c r="C46" i="13"/>
  <c r="C53" i="13" s="1"/>
  <c r="F44" i="13"/>
  <c r="C44" i="13"/>
  <c r="C41" i="13"/>
  <c r="C40" i="13"/>
  <c r="C39" i="13"/>
  <c r="C38" i="13"/>
  <c r="C37" i="13"/>
  <c r="C34" i="13"/>
  <c r="C32" i="13"/>
  <c r="C55" i="13" s="1"/>
  <c r="C25" i="13"/>
  <c r="C54" i="13" s="1"/>
  <c r="E13" i="13"/>
  <c r="C13" i="13"/>
  <c r="F8" i="13"/>
  <c r="J8" i="13" s="1"/>
  <c r="J4" i="13"/>
  <c r="H4" i="13"/>
  <c r="H3" i="13"/>
  <c r="G55" i="13" l="1"/>
  <c r="G54" i="13"/>
  <c r="C50" i="13"/>
  <c r="F13" i="13"/>
  <c r="U29" i="1" l="1"/>
  <c r="U26" i="1"/>
  <c r="U25" i="1"/>
  <c r="U24" i="1"/>
  <c r="U23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J4" i="2"/>
  <c r="J5" i="2"/>
  <c r="J6" i="2"/>
  <c r="J3" i="2"/>
  <c r="J2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<sst xmlns="http://schemas.openxmlformats.org/spreadsheetml/2006/main" count="22333" uniqueCount="6053">
  <si>
    <t>Project Name</t>
  </si>
  <si>
    <t>Tracker Code</t>
  </si>
  <si>
    <t>Hostel 4</t>
  </si>
  <si>
    <t>Track-H4</t>
  </si>
  <si>
    <t>Desai Sethi School of Entreprenurship new Building</t>
  </si>
  <si>
    <t>Track-DSSE</t>
  </si>
  <si>
    <t>NSAC</t>
  </si>
  <si>
    <t>Track-NSAC</t>
  </si>
  <si>
    <t>Rahul Bajaj Technology Innovation Centre</t>
  </si>
  <si>
    <t>Track-RBTIC</t>
  </si>
  <si>
    <t>A91 Eco Hub</t>
  </si>
  <si>
    <t>Track-A91</t>
  </si>
  <si>
    <t>COPT- BETIC</t>
  </si>
  <si>
    <t>TRACK-COPT</t>
  </si>
  <si>
    <t>AB1</t>
  </si>
  <si>
    <t>Track-AB1</t>
  </si>
  <si>
    <t>AB2</t>
  </si>
  <si>
    <t>Track-AB2</t>
  </si>
  <si>
    <t>ASB1</t>
  </si>
  <si>
    <t>Track-ASB1</t>
  </si>
  <si>
    <t>ASB2</t>
  </si>
  <si>
    <t>Track-ASB2</t>
  </si>
  <si>
    <t>KV</t>
  </si>
  <si>
    <t>Track-KV</t>
  </si>
  <si>
    <t>Faculty Housing</t>
  </si>
  <si>
    <t>Track-FH</t>
  </si>
  <si>
    <t>Research HUB</t>
  </si>
  <si>
    <t>Track-RH</t>
  </si>
  <si>
    <t>Alumni centre</t>
  </si>
  <si>
    <t>Track-AC</t>
  </si>
  <si>
    <t>AB3</t>
  </si>
  <si>
    <t>Track-AB3</t>
  </si>
  <si>
    <t>AB4 &amp; GESH Building</t>
  </si>
  <si>
    <t>Track-AB3GESH</t>
  </si>
  <si>
    <t>Efficiency Appt</t>
  </si>
  <si>
    <t>Track-EA</t>
  </si>
  <si>
    <t>Hostel 9</t>
  </si>
  <si>
    <t>Track-H9</t>
  </si>
  <si>
    <t>Hostel 6</t>
  </si>
  <si>
    <t>Track-H6</t>
  </si>
  <si>
    <t>Girls Hostel</t>
  </si>
  <si>
    <t>Track-GH</t>
  </si>
  <si>
    <t>Lecture Hall Complex  (OAT)</t>
  </si>
  <si>
    <t>Track-LHC</t>
  </si>
  <si>
    <t>ARL</t>
  </si>
  <si>
    <t>Track-ARL</t>
  </si>
  <si>
    <t>EHV</t>
  </si>
  <si>
    <t>Track-EHV</t>
  </si>
  <si>
    <t>MLCP</t>
  </si>
  <si>
    <t>Track-MLCP</t>
  </si>
  <si>
    <t>Drone Centre</t>
  </si>
  <si>
    <t>Track-DC</t>
  </si>
  <si>
    <t>Hostel 19</t>
  </si>
  <si>
    <t>Track-H19</t>
  </si>
  <si>
    <t>Hostel  11</t>
  </si>
  <si>
    <t>Track-H11</t>
  </si>
  <si>
    <t>Gogri Hub</t>
  </si>
  <si>
    <t>Track-Gogri</t>
  </si>
  <si>
    <t>BASKETBALL COURT ARINA-CLASS OF 95</t>
  </si>
  <si>
    <t>Track-BASKETCL95</t>
  </si>
  <si>
    <t>NAMING TO CLASS OF 1993</t>
  </si>
  <si>
    <t>Track-NameCL93</t>
  </si>
  <si>
    <t>SHRIDHAR SHUKLA IITB TRUST LAB</t>
  </si>
  <si>
    <t>Track-SHRIDHARTRUSTLAB</t>
  </si>
  <si>
    <t>Naming R.NO.21 VMCC PROF.VASI</t>
  </si>
  <si>
    <t>Track-NAMEPROFVASI</t>
  </si>
  <si>
    <t xml:space="preserve">Naming corpus of HE_IITB Y1,Y2 </t>
  </si>
  <si>
    <t>Track-NHEIITB</t>
  </si>
  <si>
    <t>INOX</t>
  </si>
  <si>
    <t>Track-INOX</t>
  </si>
  <si>
    <t>Kishore Seendripu-Lecture Hall Complex 3</t>
  </si>
  <si>
    <t>Track-KSLHC</t>
  </si>
  <si>
    <t>EE Dept. 2nd Floor- Arun Firodia</t>
  </si>
  <si>
    <t>Track-EEDEPTARUN</t>
  </si>
  <si>
    <t xml:space="preserve">Citadel Securities </t>
  </si>
  <si>
    <t>Track-CS</t>
  </si>
  <si>
    <t>Surendra &amp; Karen Gupta LT 105</t>
  </si>
  <si>
    <t>Track-SKGLT105</t>
  </si>
  <si>
    <t>Optiver</t>
  </si>
  <si>
    <t>Track-OPTIVER</t>
  </si>
  <si>
    <t>Groww</t>
  </si>
  <si>
    <t>Track-GROWW</t>
  </si>
  <si>
    <t>Mphasis</t>
  </si>
  <si>
    <t>Track-Mphasis</t>
  </si>
  <si>
    <t>Bank of America</t>
  </si>
  <si>
    <t>Track-BOA</t>
  </si>
  <si>
    <t>Pramod Chaudhari Dining Hall</t>
  </si>
  <si>
    <t>Track-H4PCDH</t>
  </si>
  <si>
    <t>HRT</t>
  </si>
  <si>
    <t>Track-HRT</t>
  </si>
  <si>
    <t>WBS Code</t>
  </si>
  <si>
    <t>Category</t>
  </si>
  <si>
    <t>Built-up Area (sq ft)</t>
  </si>
  <si>
    <t>Start Date</t>
  </si>
  <si>
    <t>Target Completion</t>
  </si>
  <si>
    <t>Project Cost</t>
  </si>
  <si>
    <t>Funds Committed (After Admin Cost)</t>
  </si>
  <si>
    <t>FUNDS COMMITTED FOR INFRASTRUCTURE</t>
  </si>
  <si>
    <t>Received Funds</t>
  </si>
  <si>
    <t>Blocks/Impediments and Redflag</t>
  </si>
  <si>
    <t>Donor Name</t>
  </si>
  <si>
    <t>Donor Contact</t>
  </si>
  <si>
    <t>Progress</t>
  </si>
  <si>
    <t>Status</t>
  </si>
  <si>
    <t>No. of Beds/ Occupency, and other details</t>
  </si>
  <si>
    <t>Latest Photos Link</t>
  </si>
  <si>
    <t>Drawings</t>
  </si>
  <si>
    <t>Reports</t>
  </si>
  <si>
    <t>Location</t>
  </si>
  <si>
    <t>% Completion</t>
  </si>
  <si>
    <t>Floors</t>
  </si>
  <si>
    <t>Milestones Sheet</t>
  </si>
  <si>
    <t>Floor Plan Sheet</t>
  </si>
  <si>
    <t>Last Updated</t>
  </si>
  <si>
    <t>Special Features</t>
  </si>
  <si>
    <t>Permits</t>
  </si>
  <si>
    <t>MOUs</t>
  </si>
  <si>
    <t>DO/2025-HCT4</t>
  </si>
  <si>
    <t>Student Housing</t>
  </si>
  <si>
    <t>Multiple</t>
  </si>
  <si>
    <t>ravi.naware@gmail.com</t>
  </si>
  <si>
    <t>Completed and Active</t>
  </si>
  <si>
    <t>Active</t>
  </si>
  <si>
    <t>Pictures</t>
  </si>
  <si>
    <t>Designs</t>
  </si>
  <si>
    <t>https://maps.app.goo.gl/ZuiG7MAaST3dvLzv5</t>
  </si>
  <si>
    <t>DO/2021-DSSE</t>
  </si>
  <si>
    <t>Research</t>
  </si>
  <si>
    <t>Bharat Desai (27Cr)</t>
  </si>
  <si>
    <t>bdesai.mail@gmail.com</t>
  </si>
  <si>
    <t>Stage8- Completed</t>
  </si>
  <si>
    <t>https://maps.app.goo.gl/HQQ5FuNUiyoRAGib6</t>
  </si>
  <si>
    <t>Academic</t>
  </si>
  <si>
    <t>open</t>
  </si>
  <si>
    <t>DO/2019-RBIC</t>
  </si>
  <si>
    <t>Rahul Bajaj</t>
  </si>
  <si>
    <t>Non-Active</t>
  </si>
  <si>
    <t>https://maps.app.goo.gl/UitkwUPGkWhabER28</t>
  </si>
  <si>
    <t>Abhay Pandey</t>
  </si>
  <si>
    <t>DO/2025-ICICI</t>
  </si>
  <si>
    <t>ICICI 14Cr (1/7 of the total project) for BETIC Centre to be hosted</t>
  </si>
  <si>
    <t>deepak.patil@icicifoundation.org, prashant.deokar@icicifoundation.org</t>
  </si>
  <si>
    <t>DO/2024-MOSL</t>
  </si>
  <si>
    <t xml:space="preserve">Motilal Oswal (95 Cr), Ashank Desai (ADCPS) (10Cr), Fedex (7.5Cr)
CMInDS (Lakhamraju-17.53 Cr, SBI-7.78 Cr, Gupshup-9.76 Cr, Arpit Mathur-5.61Cr, Kashyap &amp; Shruti Deorah-5.61Cr, S. Rizvi- 1.45Cr ) (48 Cr) 
Steel From JSW (in Kind) </t>
  </si>
  <si>
    <t>Stage3-Under Construction</t>
  </si>
  <si>
    <t>https://iitbacr-my.sharepoint.com/:f:/p/siddhant_gupta/IgCdKabfm-gwQL_3mz1DIDyUASrEZ6YR15bftulpbqYKx1s?e=xwQi8c</t>
  </si>
  <si>
    <t>https://maps.app.goo.gl/sbCM8K2bu5k4Dn4bA</t>
  </si>
  <si>
    <t>DO/2023-FEDX</t>
  </si>
  <si>
    <t>Wadhwani (60 Cr), Nandan (20 Cr)
Koita’s (KCDH) (15 Cr)</t>
  </si>
  <si>
    <t>https://maps.app.goo.gl/us2gAFPmcAuwdctYA</t>
  </si>
  <si>
    <t xml:space="preserve"> </t>
  </si>
  <si>
    <t>Wadhwani, Nandan</t>
  </si>
  <si>
    <t>Non-academic</t>
  </si>
  <si>
    <t>Prashant Sharma</t>
  </si>
  <si>
    <t>https://maps.app.goo.gl/3Nn1zCEVRv1UzBmSA</t>
  </si>
  <si>
    <t>Nandan Nilkani (80 Cr)</t>
  </si>
  <si>
    <t>Open</t>
  </si>
  <si>
    <t>Stage2-Design</t>
  </si>
  <si>
    <t>Photos</t>
  </si>
  <si>
    <t>DO/2018-MKAC</t>
  </si>
  <si>
    <t>Mohan Kavrie, Everest (10Cr +7.5+5.42Cr)</t>
  </si>
  <si>
    <t>https://maps.app.goo.gl/uhZViCJZzjVEvFzo9</t>
  </si>
  <si>
    <t>Anonymous  (100 Cr) (AB4)</t>
  </si>
  <si>
    <t>https://maps.app.goo.gl/KWuvv22ohWj3c5wp6</t>
  </si>
  <si>
    <t>DO/2025-HCT9</t>
  </si>
  <si>
    <t>Jitendra Mohan &amp; Swapna (64Cr)</t>
  </si>
  <si>
    <t>https://maps.app.goo.gl/oHAPhofQHPXYwgYm9</t>
  </si>
  <si>
    <t>DO/2024-HCT6</t>
  </si>
  <si>
    <t>Browserstack, Ritesh &amp; Nakul (90 Cr)</t>
  </si>
  <si>
    <t>siddharth.l@browserstack.com</t>
  </si>
  <si>
    <t>Stage1-Planning</t>
  </si>
  <si>
    <t>https://maps.app.goo.gl/tfNCyrwxG1sQgT916</t>
  </si>
  <si>
    <t>Floor Plan</t>
  </si>
  <si>
    <t>Yoga room, Gymnasium, Dance/music room, Cafeteria/Canteen, Student Lounge</t>
  </si>
  <si>
    <t>link</t>
  </si>
  <si>
    <t>Stage5-Completed</t>
  </si>
  <si>
    <t>Lab</t>
  </si>
  <si>
    <r>
      <t>%</t>
    </r>
    <r>
      <rPr>
        <sz val="11"/>
        <color rgb="FF404040"/>
        <rFont val="Corbel"/>
        <family val="2"/>
      </rPr>
      <t xml:space="preserve"> </t>
    </r>
    <r>
      <rPr>
        <sz val="12"/>
        <color rgb="FF404040"/>
        <rFont val="Calibri"/>
        <family val="2"/>
      </rPr>
      <t>Complete</t>
    </r>
  </si>
  <si>
    <t>Slow progress</t>
  </si>
  <si>
    <t>Legend:</t>
  </si>
  <si>
    <t>Plan Duration</t>
  </si>
  <si>
    <t>Road Block</t>
  </si>
  <si>
    <t>In- rpgress</t>
  </si>
  <si>
    <t>Completion</t>
  </si>
  <si>
    <t>Actual Start</t>
  </si>
  <si>
    <t>Current Phase</t>
  </si>
  <si>
    <t>PERCENT COMPLETE</t>
  </si>
  <si>
    <t xml:space="preserve">Start Date </t>
  </si>
  <si>
    <t xml:space="preserve">End Date </t>
  </si>
  <si>
    <t xml:space="preserve"> Period Highlight:</t>
  </si>
  <si>
    <t>% Complete</t>
  </si>
  <si>
    <t>1. Planning</t>
  </si>
  <si>
    <t>Building</t>
  </si>
  <si>
    <t>Centre Name</t>
  </si>
  <si>
    <t xml:space="preserve"> Received/Allocated to Infra </t>
  </si>
  <si>
    <r>
      <t xml:space="preserve"> Received/Allocated to Infra-</t>
    </r>
    <r>
      <rPr>
        <b/>
        <sz val="12"/>
        <color rgb="FF000000"/>
        <rFont val="Calibri"/>
      </rPr>
      <t>After Admin</t>
    </r>
  </si>
  <si>
    <t xml:space="preserve">Received/Allocated to Infra </t>
  </si>
  <si>
    <t>Interest</t>
  </si>
  <si>
    <t>Total Received/Allocated +Interest</t>
  </si>
  <si>
    <t>Total Received/Allocated +Interest (In Cr)</t>
  </si>
  <si>
    <t>Utilized- Transferred to Main Account</t>
  </si>
  <si>
    <t>Utilized- Transferred to Main Account (In Cr)</t>
  </si>
  <si>
    <t>Amount balance to transfer</t>
  </si>
  <si>
    <t>Amount balance to transfer (In Cr)</t>
  </si>
  <si>
    <t>To be received</t>
  </si>
  <si>
    <t>To be received (In Cr)</t>
  </si>
  <si>
    <t>WBS</t>
  </si>
  <si>
    <t>Remarks</t>
  </si>
  <si>
    <t>COMMENTS</t>
  </si>
  <si>
    <t xml:space="preserve">(in Rs.) </t>
  </si>
  <si>
    <t>Infrastructure</t>
  </si>
  <si>
    <t>ADCPS</t>
  </si>
  <si>
    <t>Motilal Oswal Knowledge Center</t>
  </si>
  <si>
    <t xml:space="preserve"> ₹ -   </t>
  </si>
  <si>
    <t>CMInDS - Included SBI</t>
  </si>
  <si>
    <t>FedEX ALFA</t>
  </si>
  <si>
    <t>Academic Block</t>
  </si>
  <si>
    <t>Honeywell</t>
  </si>
  <si>
    <t>KCDH</t>
  </si>
  <si>
    <t>Animal Facility</t>
  </si>
  <si>
    <t>WITC</t>
  </si>
  <si>
    <t>Wadhwani Innovation Center</t>
  </si>
  <si>
    <t xml:space="preserve">₹ -   </t>
  </si>
  <si>
    <t>Alkem</t>
  </si>
  <si>
    <t>DSSE</t>
  </si>
  <si>
    <t>2.75 million</t>
  </si>
  <si>
    <t>260 Grant</t>
  </si>
  <si>
    <t>890 lac dollor</t>
  </si>
  <si>
    <t>Abhay Pandey Building</t>
  </si>
  <si>
    <t>TCA2I</t>
  </si>
  <si>
    <t>TECHNOCRAFT CENTRE FOR APPLIED ARTIFICIAL INTELLIGENCE</t>
  </si>
  <si>
    <t>ALUMNI CENTRE</t>
  </si>
  <si>
    <t>Mohan Kavrie</t>
  </si>
  <si>
    <t>Everest</t>
  </si>
  <si>
    <t>AB4</t>
  </si>
  <si>
    <t>Hub for green energy</t>
  </si>
  <si>
    <t>NN315 Infra Funds</t>
  </si>
  <si>
    <t>Faculty Housing-B 27</t>
  </si>
  <si>
    <t>NN Main Building</t>
  </si>
  <si>
    <t>Rest of Fund</t>
  </si>
  <si>
    <t>Hostel6</t>
  </si>
  <si>
    <t>Ramesh M.</t>
  </si>
  <si>
    <t>Ritesh &amp; Nakul</t>
  </si>
  <si>
    <t>RBTIC</t>
  </si>
  <si>
    <t>Hub</t>
  </si>
  <si>
    <t>Jitendra Mohan &amp;  Sapana Samant</t>
  </si>
  <si>
    <t>ICICI BETIC</t>
  </si>
  <si>
    <t>Naming:</t>
  </si>
  <si>
    <t xml:space="preserve"> Received/Allocated to Infra (In Cr)</t>
  </si>
  <si>
    <t>Transferred To Dept.</t>
  </si>
  <si>
    <t>Sub WBS</t>
  </si>
  <si>
    <t>Donation Amount</t>
  </si>
  <si>
    <t>Estimated Cost</t>
  </si>
  <si>
    <t>Committed Spend</t>
  </si>
  <si>
    <t>Spent To Date</t>
  </si>
  <si>
    <t>Funding Source</t>
  </si>
  <si>
    <t>Currency</t>
  </si>
  <si>
    <t>Budget Variance</t>
  </si>
  <si>
    <t>Updated On</t>
  </si>
  <si>
    <t xml:space="preserve">Kishore Rajapurkar
</t>
  </si>
  <si>
    <t>Donor</t>
  </si>
  <si>
    <t>INR</t>
  </si>
  <si>
    <t>2025-12-15</t>
  </si>
  <si>
    <t xml:space="preserve">Vivek Manohar Padhye
</t>
  </si>
  <si>
    <t>Mixed</t>
  </si>
  <si>
    <t>2025-12-20</t>
  </si>
  <si>
    <t>Browserstack</t>
  </si>
  <si>
    <t>Hostel 4: MR. DILEEP BHANDARKAR</t>
  </si>
  <si>
    <t>DO/2025-H4DN</t>
  </si>
  <si>
    <t>Hostel 4: Pramod Chaudhari Dining Hall</t>
  </si>
  <si>
    <t>2750000.00$</t>
  </si>
  <si>
    <t>Project Code</t>
  </si>
  <si>
    <t>Milestone</t>
  </si>
  <si>
    <t>Owner</t>
  </si>
  <si>
    <t>Planned Date</t>
  </si>
  <si>
    <t>Actual Date</t>
  </si>
  <si>
    <t>Comments</t>
  </si>
  <si>
    <t>ACAD-001</t>
  </si>
  <si>
    <t>Foundation Complete</t>
  </si>
  <si>
    <t>2025-06-30</t>
  </si>
  <si>
    <t>2025-07-10</t>
  </si>
  <si>
    <t>Completed</t>
  </si>
  <si>
    <t>10-day delay due to rain</t>
  </si>
  <si>
    <t>Superstructure</t>
  </si>
  <si>
    <t>2025-11-30</t>
  </si>
  <si>
    <t>Under Construction</t>
  </si>
  <si>
    <t>-</t>
  </si>
  <si>
    <t>NON-003</t>
  </si>
  <si>
    <t>Design Approval</t>
  </si>
  <si>
    <t>2026-02-15</t>
  </si>
  <si>
    <t>Planning</t>
  </si>
  <si>
    <t>External review pending</t>
  </si>
  <si>
    <t>MOU Name</t>
  </si>
  <si>
    <t>MOU Amount</t>
  </si>
  <si>
    <t>INR Amount</t>
  </si>
  <si>
    <t>MOU Signing Date</t>
  </si>
  <si>
    <t>MOU Duration (Year)</t>
  </si>
  <si>
    <t>End Date</t>
  </si>
  <si>
    <t>Sub Category</t>
  </si>
  <si>
    <t>Purpose</t>
  </si>
  <si>
    <t>Maker</t>
  </si>
  <si>
    <t xml:space="preserve"> Campus Sustainability Fund</t>
  </si>
  <si>
    <t>100000.00 $</t>
  </si>
  <si>
    <t>8,479,345.00 ₹</t>
  </si>
  <si>
    <t>2025-05-06</t>
  </si>
  <si>
    <t>4.0</t>
  </si>
  <si>
    <t>Alumni</t>
  </si>
  <si>
    <t>Alumni General</t>
  </si>
  <si>
    <t>Other</t>
  </si>
  <si>
    <t>Namrata Ashok</t>
  </si>
  <si>
    <t>Mr. P. Pandurang Nayak</t>
  </si>
  <si>
    <t xml:space="preserve"> Coal India - Rural Technology</t>
  </si>
  <si>
    <t>13816000.00 ₹</t>
  </si>
  <si>
    <t>13,816,000.00 ₹</t>
  </si>
  <si>
    <t>2025-08-13</t>
  </si>
  <si>
    <t>2.0</t>
  </si>
  <si>
    <t>Corporate</t>
  </si>
  <si>
    <t>Corporate CSR</t>
  </si>
  <si>
    <t>R&amp;D</t>
  </si>
  <si>
    <t>Josmi Joseph</t>
  </si>
  <si>
    <t>COAL India</t>
  </si>
  <si>
    <t xml:space="preserve"> DL Shah Chair for Innvoation</t>
  </si>
  <si>
    <t>6000000.00 ₹</t>
  </si>
  <si>
    <t>6,000,000.00 ₹</t>
  </si>
  <si>
    <t>2008-07-31</t>
  </si>
  <si>
    <t>10.0</t>
  </si>
  <si>
    <t>Foundation</t>
  </si>
  <si>
    <t>--</t>
  </si>
  <si>
    <t>Chair</t>
  </si>
  <si>
    <t xml:space="preserve">Gayatri Rupangudi </t>
  </si>
  <si>
    <t>D L Shah Trust for Applied Science, Technology, Arts &amp; Philosophy</t>
  </si>
  <si>
    <t xml:space="preserve"> Expanding Bodhitree and EvalPro  for Educational Impact at IIT Bombay (Research Project). </t>
  </si>
  <si>
    <t>12690310.00 ₹</t>
  </si>
  <si>
    <t>12,690,310.00 ₹</t>
  </si>
  <si>
    <t>2025-01-10</t>
  </si>
  <si>
    <t>1.0</t>
  </si>
  <si>
    <t>2024-01-10</t>
  </si>
  <si>
    <t>Sreya Ganguly</t>
  </si>
  <si>
    <t>Tower Research Capital Markets India Limited and Asankhya Trading Private Limited</t>
  </si>
  <si>
    <t xml:space="preserve"> Project Evergreen : Ashutosh Joshi</t>
  </si>
  <si>
    <t>40000000.00 ₹</t>
  </si>
  <si>
    <t>40,000,000.00 ₹</t>
  </si>
  <si>
    <t>2024-04-26</t>
  </si>
  <si>
    <t>5.0</t>
  </si>
  <si>
    <t>Ieshan Misri</t>
  </si>
  <si>
    <t>Ashutosh Joshi</t>
  </si>
  <si>
    <t xml:space="preserve"> Project Evergreen : Manu Varma</t>
  </si>
  <si>
    <t>120000.00 $</t>
  </si>
  <si>
    <t>10,089,534.00 ₹</t>
  </si>
  <si>
    <t>2024-10-24</t>
  </si>
  <si>
    <t>Sagar Badhe</t>
  </si>
  <si>
    <t>Manu Varma</t>
  </si>
  <si>
    <t xml:space="preserve"> Sahadev A Chirayath Memorial Awards</t>
  </si>
  <si>
    <t>25471.00 $</t>
  </si>
  <si>
    <t>2,142,517.36 ₹</t>
  </si>
  <si>
    <t>2024-11-05</t>
  </si>
  <si>
    <t>99.0</t>
  </si>
  <si>
    <t>Award</t>
  </si>
  <si>
    <t>Rahul Talreja</t>
  </si>
  <si>
    <t>Group of donors represented by Prof. Chinya V  Ravishankar</t>
  </si>
  <si>
    <t>(SIL)Summer of Innovation and Leadership</t>
  </si>
  <si>
    <t>7830000.00 ₹</t>
  </si>
  <si>
    <t>7,830,000.00 ₹</t>
  </si>
  <si>
    <t>2025-02-21</t>
  </si>
  <si>
    <t>3.0</t>
  </si>
  <si>
    <t>2025-05-01</t>
  </si>
  <si>
    <t>Alumni Corporate Non CSR</t>
  </si>
  <si>
    <t>Academic Program</t>
  </si>
  <si>
    <t>Sneha Bajaj</t>
  </si>
  <si>
    <t xml:space="preserve">Abhay Pandey and Edunnovate Technologies </t>
  </si>
  <si>
    <t>ABB India Foundation</t>
  </si>
  <si>
    <t>10305000.00 ₹</t>
  </si>
  <si>
    <t>10,305,000.00 ₹</t>
  </si>
  <si>
    <t>2024-08-19</t>
  </si>
  <si>
    <t>0.5</t>
  </si>
  <si>
    <t>2024-07-01</t>
  </si>
  <si>
    <t>Lab &amp; Equipment</t>
  </si>
  <si>
    <t>Abhay Pandey New HSS Annex</t>
  </si>
  <si>
    <t>100000000.00 ₹</t>
  </si>
  <si>
    <t>100,000,000.00 ₹</t>
  </si>
  <si>
    <t>2019-01-10</t>
  </si>
  <si>
    <t>Sakshi Thakral</t>
  </si>
  <si>
    <t>Abhijeet Banerjee SJMSOM Silver Medal</t>
  </si>
  <si>
    <t>612000.00 ₹</t>
  </si>
  <si>
    <t>612,000.00 ₹</t>
  </si>
  <si>
    <t>2022-05-27</t>
  </si>
  <si>
    <t>Sreenivas Chigullapalli</t>
  </si>
  <si>
    <t>Alumni of 2003 batch</t>
  </si>
  <si>
    <t>Adani_Family Values and entrepreneurial Success</t>
  </si>
  <si>
    <t>10500000.00 ₹</t>
  </si>
  <si>
    <t>10,500,000.00 ₹</t>
  </si>
  <si>
    <t>2024-10-01</t>
  </si>
  <si>
    <t>Adani Group</t>
  </si>
  <si>
    <t>Adani_Vakya System of Astronomy in India</t>
  </si>
  <si>
    <t>Addendum - Ashank Desai Center for Policy Studies</t>
  </si>
  <si>
    <t>2024-03-28</t>
  </si>
  <si>
    <t>2030-12-20</t>
  </si>
  <si>
    <t>Center</t>
  </si>
  <si>
    <t xml:space="preserve">Ashank Desai Cenetr for Policy </t>
  </si>
  <si>
    <t>Advanced Cooling System (Year 1)</t>
  </si>
  <si>
    <t>10331200.00 ₹</t>
  </si>
  <si>
    <t>10,331,200.00 ₹</t>
  </si>
  <si>
    <t>2025-01-31</t>
  </si>
  <si>
    <t>SEIL India Energy Ltd</t>
  </si>
  <si>
    <t>Advinus Fellowship</t>
  </si>
  <si>
    <t>364000.00 ₹</t>
  </si>
  <si>
    <t>364,000.00 ₹</t>
  </si>
  <si>
    <t>2009-07-15</t>
  </si>
  <si>
    <t>Advinus Therapeutics</t>
  </si>
  <si>
    <t>AI ML Chair Professorship by Adil Zainulbhai</t>
  </si>
  <si>
    <t>150000.00 $</t>
  </si>
  <si>
    <t>10,308,599.85 ₹</t>
  </si>
  <si>
    <t>2018-07-11</t>
  </si>
  <si>
    <t>Adil Zainulbhai</t>
  </si>
  <si>
    <t>Airbus India- Scholarship &amp; Fellowship</t>
  </si>
  <si>
    <t>1870000.00 ₹</t>
  </si>
  <si>
    <t>1,870,000.00 ₹</t>
  </si>
  <si>
    <t>2024-08-08</t>
  </si>
  <si>
    <t>Fellowship</t>
  </si>
  <si>
    <t>Airbus India Private Limited</t>
  </si>
  <si>
    <t>Airpac - Scholarship</t>
  </si>
  <si>
    <t>17100000.00 ₹</t>
  </si>
  <si>
    <t>17,100,000.00 ₹</t>
  </si>
  <si>
    <t>2024-11-04</t>
  </si>
  <si>
    <t>Scholarship</t>
  </si>
  <si>
    <t>Airpac Filters &amp; System Pvt Ltd</t>
  </si>
  <si>
    <t>Ajay Gupta Scholarship</t>
  </si>
  <si>
    <t>1360000.00 ₹</t>
  </si>
  <si>
    <t>1,360,000.00 ₹</t>
  </si>
  <si>
    <t>2021-12-01</t>
  </si>
  <si>
    <t>30.0</t>
  </si>
  <si>
    <t>Well Wisher</t>
  </si>
  <si>
    <t>Ajay Kumar Gupta</t>
  </si>
  <si>
    <t>Ajit Shelat Award</t>
  </si>
  <si>
    <t>500000.00 ₹</t>
  </si>
  <si>
    <t>500,000.00 ₹</t>
  </si>
  <si>
    <t>2011-06-01</t>
  </si>
  <si>
    <t>Radha Shelat</t>
  </si>
  <si>
    <t>Akila Vijay Iyengar - Kamala &amp; Gopalan Scholarship</t>
  </si>
  <si>
    <t>5500000.00 ₹</t>
  </si>
  <si>
    <t>5,500,000.00 ₹</t>
  </si>
  <si>
    <t>2024-04-23</t>
  </si>
  <si>
    <t>Akila Vijay Iyengar</t>
  </si>
  <si>
    <t xml:space="preserve">Alkem Centre </t>
  </si>
  <si>
    <t>770000000.00 ₹</t>
  </si>
  <si>
    <t>770,000,000.00 ₹</t>
  </si>
  <si>
    <t>2025-10-08</t>
  </si>
  <si>
    <t>7.0</t>
  </si>
  <si>
    <t>Alkem Foundation</t>
  </si>
  <si>
    <t>Alphagrep Awards/Scholarship</t>
  </si>
  <si>
    <t>2025-07-14</t>
  </si>
  <si>
    <t>Nandkishor Shimpi</t>
  </si>
  <si>
    <t>Alphagrep Securities Pvt. Ltd.</t>
  </si>
  <si>
    <t>AlphaGrep Merit Awards/Scholarships</t>
  </si>
  <si>
    <t>1000000.00 ₹</t>
  </si>
  <si>
    <t>1,000,000.00 ₹</t>
  </si>
  <si>
    <t>2022-09-20</t>
  </si>
  <si>
    <t>AlphaGrep Securities Pvt. Ltd.</t>
  </si>
  <si>
    <t>Alphagrep Securities - Scholarship</t>
  </si>
  <si>
    <t>2024-06-19</t>
  </si>
  <si>
    <t xml:space="preserve">Alumni Centre - Mr. Mohan Kavrie </t>
  </si>
  <si>
    <t>2023-06-27</t>
  </si>
  <si>
    <t xml:space="preserve">Mr. Mohan Kavrie </t>
  </si>
  <si>
    <t>Alumni Time Bank - Dhaval Doshi, Harshal Gunde - AA</t>
  </si>
  <si>
    <t>4000000.00 ₹</t>
  </si>
  <si>
    <t>4,000,000.00 ₹</t>
  </si>
  <si>
    <t>2025-05-20</t>
  </si>
  <si>
    <t>Dhaval Doshi &amp; Harshal Gunde</t>
  </si>
  <si>
    <t>Anantrao Jagtap Chair for Construction Management</t>
  </si>
  <si>
    <t>12500000.00 ₹</t>
  </si>
  <si>
    <t>12,500,000.00 ₹</t>
  </si>
  <si>
    <t>2021-10-27</t>
  </si>
  <si>
    <t>Alumni Foundation</t>
  </si>
  <si>
    <t>The Jagtap Family Charitable Fund</t>
  </si>
  <si>
    <t xml:space="preserve">Ani Technologies Pvt Ltd (Ola Cabs) </t>
  </si>
  <si>
    <t>3600000.00 ₹</t>
  </si>
  <si>
    <t>3,600,000.00 ₹</t>
  </si>
  <si>
    <t>2022-01-05</t>
  </si>
  <si>
    <t>Annapurna &amp; Hare Narain Maskara Scholarship</t>
  </si>
  <si>
    <t>2022-12-25</t>
  </si>
  <si>
    <t>25.0</t>
  </si>
  <si>
    <t>Alok Maskara</t>
  </si>
  <si>
    <t>Ansys Ph.D award</t>
  </si>
  <si>
    <t>1620000.00 ₹</t>
  </si>
  <si>
    <t>1,620,000.00 ₹</t>
  </si>
  <si>
    <t>2017-08-17</t>
  </si>
  <si>
    <t>Inactive</t>
  </si>
  <si>
    <t>Ajoy Dattaram</t>
  </si>
  <si>
    <t>Apache design solution Pvt. Ltd.</t>
  </si>
  <si>
    <t>Anwesha Foundation - Team SHUNYA</t>
  </si>
  <si>
    <t>250000.00 ₹</t>
  </si>
  <si>
    <t>250,000.00 ₹</t>
  </si>
  <si>
    <t>2022-12-21</t>
  </si>
  <si>
    <t>Anwesha Foundation</t>
  </si>
  <si>
    <t>APTIV Amendment</t>
  </si>
  <si>
    <t>1416000.00 ₹</t>
  </si>
  <si>
    <t>1,416,000.00 ₹</t>
  </si>
  <si>
    <t>2023-10-27</t>
  </si>
  <si>
    <t>Manjula Mehta</t>
  </si>
  <si>
    <t>APTIV</t>
  </si>
  <si>
    <t>APTIV Scholarship</t>
  </si>
  <si>
    <t>2021-12-15</t>
  </si>
  <si>
    <t>Aptiv Components India Pvt. Ltd.</t>
  </si>
  <si>
    <t>Arjun Raghavan - Young Faculty Award - 10</t>
  </si>
  <si>
    <t>12000000.00 ₹</t>
  </si>
  <si>
    <t>12,000,000.00 ₹</t>
  </si>
  <si>
    <t>2024-10-21</t>
  </si>
  <si>
    <t>Faculty</t>
  </si>
  <si>
    <t>Arjun Raghavan</t>
  </si>
  <si>
    <t>ARRA Scholarships</t>
  </si>
  <si>
    <t>578600.00 ₹</t>
  </si>
  <si>
    <t>578,600.00 ₹</t>
  </si>
  <si>
    <t>2025-07-07</t>
  </si>
  <si>
    <t>Rosy Blue Foundation</t>
  </si>
  <si>
    <t>Arun Desai</t>
  </si>
  <si>
    <t>50000.00 $</t>
  </si>
  <si>
    <t>4,284,717.50 ₹</t>
  </si>
  <si>
    <t>2025-07-02</t>
  </si>
  <si>
    <t>Arun Firodia Research Labs/Floor</t>
  </si>
  <si>
    <t>75000000.00 ₹</t>
  </si>
  <si>
    <t>75,000,000.00 ₹</t>
  </si>
  <si>
    <t>2024-01-15</t>
  </si>
  <si>
    <t>20.0</t>
  </si>
  <si>
    <t>Arun Firodia</t>
  </si>
  <si>
    <t>ASAHI KASIE INDIA PVT LTD</t>
  </si>
  <si>
    <t>637000.00 ₹</t>
  </si>
  <si>
    <t>637,000.00 ₹</t>
  </si>
  <si>
    <t>2024-01-22</t>
  </si>
  <si>
    <t>ASAHI KASIE</t>
  </si>
  <si>
    <t>Asha and Keshav Bhide Chair Professorship</t>
  </si>
  <si>
    <t>2022-03-17</t>
  </si>
  <si>
    <t>Corporate Non CSR</t>
  </si>
  <si>
    <t>Calsoft</t>
  </si>
  <si>
    <t>Ashank Desai Centre for Policy Studies</t>
  </si>
  <si>
    <t>150000000.00 ₹</t>
  </si>
  <si>
    <t>150,000,000.00 ₹</t>
  </si>
  <si>
    <t>2020-12-27</t>
  </si>
  <si>
    <t>Purva Jain</t>
  </si>
  <si>
    <t xml:space="preserve">Ashank Desai </t>
  </si>
  <si>
    <t>AstroSat</t>
  </si>
  <si>
    <t>1500000.00 ₹</t>
  </si>
  <si>
    <t>1,500,000.00 ₹</t>
  </si>
  <si>
    <t>2025-02-18</t>
  </si>
  <si>
    <t>2025-03-05</t>
  </si>
  <si>
    <t xml:space="preserve">BDP UGL Global Logistic Pvt Ltd. </t>
  </si>
  <si>
    <t>ATA Freight Line India pvt Ltd</t>
  </si>
  <si>
    <t>2000000.00 ₹</t>
  </si>
  <si>
    <t>2,000,000.00 ₹</t>
  </si>
  <si>
    <t>2021-09-13</t>
  </si>
  <si>
    <t>ATA Freight Line India Pvt Ltd</t>
  </si>
  <si>
    <t xml:space="preserve">Autodesk </t>
  </si>
  <si>
    <t>300000.00 $</t>
  </si>
  <si>
    <t>25,342,875.00 ₹</t>
  </si>
  <si>
    <t>2024-11-14</t>
  </si>
  <si>
    <t>Autodesk</t>
  </si>
  <si>
    <t xml:space="preserve">Award - Dexter DSouza Squash Championship Award - Deepika Sood </t>
  </si>
  <si>
    <t>10000000.00 ₹</t>
  </si>
  <si>
    <t>10,000,000.00 ₹</t>
  </si>
  <si>
    <t>2025-12-08</t>
  </si>
  <si>
    <t>Deepika Sood</t>
  </si>
  <si>
    <t>Ayyar Family - Dr R.S. Ayyar Conference Room</t>
  </si>
  <si>
    <t>0.00 ₹</t>
  </si>
  <si>
    <t>2022-05-05</t>
  </si>
  <si>
    <t>Mrs Parvathy Subrahmonia Ayyar, Mrs Ranjani Saigal, Dr Jayashree Subrahmonia</t>
  </si>
  <si>
    <t>Ayyar Family - Prof R.S. Ayyar Chair Professor</t>
  </si>
  <si>
    <t>B.K. Nilakhe award</t>
  </si>
  <si>
    <t>25000.00 ₹</t>
  </si>
  <si>
    <t>25,000.00 ₹</t>
  </si>
  <si>
    <t>2021-11-01</t>
  </si>
  <si>
    <t>Swati Nilakhe</t>
  </si>
  <si>
    <t>Bajaj Group of Chairs</t>
  </si>
  <si>
    <t>20000000.00 ₹</t>
  </si>
  <si>
    <t>20,000,000.00 ₹</t>
  </si>
  <si>
    <t>2009-04-01</t>
  </si>
  <si>
    <t>0.0</t>
  </si>
  <si>
    <t>Charitable Trust Promoted by The Bajaj Group</t>
  </si>
  <si>
    <t>Baker Hughes, GE Oil and Gas India Private Limited</t>
  </si>
  <si>
    <t>2420000.00 ₹</t>
  </si>
  <si>
    <t>2,420,000.00 ₹</t>
  </si>
  <si>
    <t>2025-02-12</t>
  </si>
  <si>
    <t>Balika Saksharta Freeship</t>
  </si>
  <si>
    <t>2022-07-26</t>
  </si>
  <si>
    <t>Ms. Sandhya Punekar and Prof. Narayan Punekar</t>
  </si>
  <si>
    <t>Bank of Baroda Chair in Circular Economy</t>
  </si>
  <si>
    <t>2019-01-19</t>
  </si>
  <si>
    <t>Bank of Baroda</t>
  </si>
  <si>
    <t>Bank of Baroda Innovation Centre</t>
  </si>
  <si>
    <t>250000000.00 ₹</t>
  </si>
  <si>
    <t>250,000,000.00 ₹</t>
  </si>
  <si>
    <t>Barco cools - Team SHUNYA</t>
  </si>
  <si>
    <t>100000.00 ₹</t>
  </si>
  <si>
    <t>100,000.00 ₹</t>
  </si>
  <si>
    <t>2022-12-26</t>
  </si>
  <si>
    <t>Barco Cools Cooling Solutions</t>
  </si>
  <si>
    <t>BDP UGL Global Logistics Private Limited.</t>
  </si>
  <si>
    <t xml:space="preserve"> BDP UGL Global Logistics Private Limited.</t>
  </si>
  <si>
    <t>Bee Keeping Project_Jashpur Forest</t>
  </si>
  <si>
    <t>1995000.00 ₹</t>
  </si>
  <si>
    <t>1,995,000.00 ₹</t>
  </si>
  <si>
    <t>2023-05-01</t>
  </si>
  <si>
    <t>Jashpur Forest_Chattisgargh</t>
  </si>
  <si>
    <t>Bell Labs</t>
  </si>
  <si>
    <t>750000.00 ₹</t>
  </si>
  <si>
    <t>750,000.00 ₹</t>
  </si>
  <si>
    <t>2005-10-25</t>
  </si>
  <si>
    <t>Arooje Sajjad</t>
  </si>
  <si>
    <t>Lucent Technologies Pvt Ltd</t>
  </si>
  <si>
    <t>Berigai Rama Iyengar Scholarship</t>
  </si>
  <si>
    <t>5785000.00 ₹</t>
  </si>
  <si>
    <t>5,785,000.00 ₹</t>
  </si>
  <si>
    <t>2024-01-03</t>
  </si>
  <si>
    <t>100.0</t>
  </si>
  <si>
    <t>Legacy</t>
  </si>
  <si>
    <t>Mr. Jagadish Iyengar</t>
  </si>
  <si>
    <t>BFI Promoting healthcare innovation</t>
  </si>
  <si>
    <t>25,011,138.00 ₹</t>
  </si>
  <si>
    <t>2024-03-27</t>
  </si>
  <si>
    <t>2024-04-27</t>
  </si>
  <si>
    <t xml:space="preserve">BFI-Biome Network </t>
  </si>
  <si>
    <t>Bhanu Scholarship</t>
  </si>
  <si>
    <t>5540000.00 ₹</t>
  </si>
  <si>
    <t>5,540,000.00 ₹</t>
  </si>
  <si>
    <t>2022-03-02</t>
  </si>
  <si>
    <t>Rajendra Gandhi</t>
  </si>
  <si>
    <t>Bharti Center for Communication</t>
  </si>
  <si>
    <t>40304000.00 ₹</t>
  </si>
  <si>
    <t>40,304,000.00 ₹</t>
  </si>
  <si>
    <t>2007-03-31</t>
  </si>
  <si>
    <t xml:space="preserve">IBM </t>
  </si>
  <si>
    <t>Bharti Surati Scholarship</t>
  </si>
  <si>
    <t>2025-12-26</t>
  </si>
  <si>
    <t>Harish Surati</t>
  </si>
  <si>
    <t>Bhavesh Gandhi Memorial fellowship</t>
  </si>
  <si>
    <t>496000.00 ₹</t>
  </si>
  <si>
    <t>496,000.00 ₹</t>
  </si>
  <si>
    <t>2000-11-06</t>
  </si>
  <si>
    <t>Vijaya C. Gandhi</t>
  </si>
  <si>
    <t>Bhukhanvala Brothers Fellowship</t>
  </si>
  <si>
    <t>5000000.00 ₹</t>
  </si>
  <si>
    <t>5,000,000.00 ₹</t>
  </si>
  <si>
    <t>Bhukhanvala Industries Pvt. Ltd</t>
  </si>
  <si>
    <t>Bijli Cotton Mills Scholarship (2025-26)</t>
  </si>
  <si>
    <t>1050000.00 ₹</t>
  </si>
  <si>
    <t>1,050,000.00 ₹</t>
  </si>
  <si>
    <t>2025-08-22</t>
  </si>
  <si>
    <t>Bijli Cotton Mills</t>
  </si>
  <si>
    <t>Bijli Cotton-Scholarship</t>
  </si>
  <si>
    <t>825000.00 ₹</t>
  </si>
  <si>
    <t>825,000.00 ₹</t>
  </si>
  <si>
    <t>2024-09-27</t>
  </si>
  <si>
    <t>Bijli Cotton Mills Pvt Ltd</t>
  </si>
  <si>
    <t>Bindu and Arvind Genius Gals Scholarship</t>
  </si>
  <si>
    <t>110000.00 $</t>
  </si>
  <si>
    <t>8,730,551.50 ₹</t>
  </si>
  <si>
    <t>2022-07-05</t>
  </si>
  <si>
    <t>16.0</t>
  </si>
  <si>
    <t>Bindu Reddy</t>
  </si>
  <si>
    <t>Biomedical Engineering and Technology (Incubation) Center</t>
  </si>
  <si>
    <t>60000000.00 ₹</t>
  </si>
  <si>
    <t>60,000,000.00 ₹</t>
  </si>
  <si>
    <t>2021-07-29</t>
  </si>
  <si>
    <t>2021-08-01</t>
  </si>
  <si>
    <t>NSE Foundation</t>
  </si>
  <si>
    <t>Biswas Palepu Distinguished Chair in Dept. of Chemistry</t>
  </si>
  <si>
    <t>2010-06-27</t>
  </si>
  <si>
    <t>The Palepu Foundation</t>
  </si>
  <si>
    <t>Blaser Scholarship and Upgradation Lab</t>
  </si>
  <si>
    <t>3000000.00 ₹</t>
  </si>
  <si>
    <t>3,000,000.00 ₹</t>
  </si>
  <si>
    <t>2021-06-18</t>
  </si>
  <si>
    <t>Blaser Swisslube</t>
  </si>
  <si>
    <t>Bluestar_Water Distribution System</t>
  </si>
  <si>
    <t>4500000.00 ₹</t>
  </si>
  <si>
    <t>4,500,000.00 ₹</t>
  </si>
  <si>
    <t>2025-08-08</t>
  </si>
  <si>
    <t>Samriddhi Gupte</t>
  </si>
  <si>
    <t xml:space="preserve">Bluestar Ltd </t>
  </si>
  <si>
    <t>BMM Heavy Machinery Pvt. Ltd,</t>
  </si>
  <si>
    <t>463013.00 ₹</t>
  </si>
  <si>
    <t>463,013.00 ₹</t>
  </si>
  <si>
    <t>Brijraj Chandra Mansingh Chemical Instrumentation Laboratory</t>
  </si>
  <si>
    <t>200000.00 $</t>
  </si>
  <si>
    <t>13,970,408.00 ₹</t>
  </si>
  <si>
    <t>2019-04-26</t>
  </si>
  <si>
    <t>Sanjay Mansingh</t>
  </si>
  <si>
    <t>Bureau of Indian Standards Chair</t>
  </si>
  <si>
    <t>2023-08-29</t>
  </si>
  <si>
    <t>2023-09-13</t>
  </si>
  <si>
    <t>Bureau of Indian Standards</t>
  </si>
  <si>
    <t>C1973 Addendum for FARE: Faculty Award</t>
  </si>
  <si>
    <t>18000000.00 ₹</t>
  </si>
  <si>
    <t>18,000,000.00 ₹</t>
  </si>
  <si>
    <t>2025-03-22</t>
  </si>
  <si>
    <t>C1973 Addendum for FARE</t>
  </si>
  <si>
    <t>Calibre Chemicals Pvt. Ltd. Unrestricted</t>
  </si>
  <si>
    <t>722108.00 ₹</t>
  </si>
  <si>
    <t>722,108.00 ₹</t>
  </si>
  <si>
    <t>2022-09-14</t>
  </si>
  <si>
    <t>Calibre Chemicals Pvt Ltd</t>
  </si>
  <si>
    <t>Calsoft_Bhide Family Chair Professorship</t>
  </si>
  <si>
    <t>2024-03-12</t>
  </si>
  <si>
    <t>2024-06-01</t>
  </si>
  <si>
    <t>Calsoft Pvt Ltd</t>
  </si>
  <si>
    <t>Cancel</t>
  </si>
  <si>
    <t>2025-07-22</t>
  </si>
  <si>
    <t>CAPITAL FOODS ( AJAY GUPTA SCHOLARSHIP)</t>
  </si>
  <si>
    <t>2805000.00 ₹</t>
  </si>
  <si>
    <t>2,805,000.00 ₹</t>
  </si>
  <si>
    <t>2023-03-24</t>
  </si>
  <si>
    <t>2023-04-01</t>
  </si>
  <si>
    <t>CAPITAL FOODS</t>
  </si>
  <si>
    <t>Castle Ships Pvt Ltd.</t>
  </si>
  <si>
    <t>700000.00 ₹</t>
  </si>
  <si>
    <t>700,000.00 ₹</t>
  </si>
  <si>
    <t>2024-03-26</t>
  </si>
  <si>
    <t>Castrol- Characterising emissions in an ammonia-diesel dual fuel engine</t>
  </si>
  <si>
    <t>2226400.00 ₹</t>
  </si>
  <si>
    <t>2,226,400.00 ₹</t>
  </si>
  <si>
    <t>2025-12-12</t>
  </si>
  <si>
    <t>Siddhant Gupta</t>
  </si>
  <si>
    <t>Castrol India Limited</t>
  </si>
  <si>
    <t>CDSL - Vajra</t>
  </si>
  <si>
    <t>2500000.00 ₹</t>
  </si>
  <si>
    <t>2,500,000.00 ₹</t>
  </si>
  <si>
    <t>2022-08-26</t>
  </si>
  <si>
    <t>2022-09-01</t>
  </si>
  <si>
    <t>Central Depository Services Limited</t>
  </si>
  <si>
    <t>CDSL-Vajra 2023</t>
  </si>
  <si>
    <t>2023-07-01</t>
  </si>
  <si>
    <t>CDSL</t>
  </si>
  <si>
    <t>Center of excellence in Oil, Gas &amp; Energy</t>
  </si>
  <si>
    <t>850000000.00 ₹</t>
  </si>
  <si>
    <t>850,000,000.00 ₹</t>
  </si>
  <si>
    <t>2019-01-02</t>
  </si>
  <si>
    <t>Mahendra Mali</t>
  </si>
  <si>
    <t>PSU Oil Companies</t>
  </si>
  <si>
    <t>Chemours Amendment - Scholarship &amp; Award</t>
  </si>
  <si>
    <t>3990000.00 ₹</t>
  </si>
  <si>
    <t>3,990,000.00 ₹</t>
  </si>
  <si>
    <t>2024-08-14</t>
  </si>
  <si>
    <t>0.7</t>
  </si>
  <si>
    <t>Chemours India Private Limited</t>
  </si>
  <si>
    <t>Chemours India Scholarship</t>
  </si>
  <si>
    <t>2720000.00 ₹</t>
  </si>
  <si>
    <t>2,720,000.00 ₹</t>
  </si>
  <si>
    <t>2021-08-05</t>
  </si>
  <si>
    <t>Chemours India Pvt. Ltd.</t>
  </si>
  <si>
    <t>Chitrika - Women Entrepreneurship Program</t>
  </si>
  <si>
    <t>1619904.00 ₹</t>
  </si>
  <si>
    <t>1,619,904.00 ₹</t>
  </si>
  <si>
    <t>2021-11-12</t>
  </si>
  <si>
    <t>1.1</t>
  </si>
  <si>
    <t>Chitrika</t>
  </si>
  <si>
    <t>Citadel Securities - Quantitative Research Lab</t>
  </si>
  <si>
    <t>143330000.00 ₹</t>
  </si>
  <si>
    <t>143,330,000.00 ₹</t>
  </si>
  <si>
    <t>2024-03-22</t>
  </si>
  <si>
    <t>Citadel Securities India Markets Private Limited</t>
  </si>
  <si>
    <t>Citius Tech SINE</t>
  </si>
  <si>
    <t>15000000.00 ₹</t>
  </si>
  <si>
    <t>15,000,000.00 ₹</t>
  </si>
  <si>
    <t>2018-05-01</t>
  </si>
  <si>
    <t>Citius Tech</t>
  </si>
  <si>
    <t>Class of 1970- Translational Research Accelerator Fund</t>
  </si>
  <si>
    <t>35000000.00 ₹</t>
  </si>
  <si>
    <t>35,000,000.00 ₹</t>
  </si>
  <si>
    <t>2023-08-23</t>
  </si>
  <si>
    <t xml:space="preserve">Class of 1970 </t>
  </si>
  <si>
    <t>Class of 1985</t>
  </si>
  <si>
    <t>2013-08-27</t>
  </si>
  <si>
    <t>Class of 1985 Chair in Technology &amp; Sustainable Development</t>
  </si>
  <si>
    <t>9000000.00 ₹</t>
  </si>
  <si>
    <t>9,000,000.00 ₹</t>
  </si>
  <si>
    <t>2010-12-25</t>
  </si>
  <si>
    <t>15.0</t>
  </si>
  <si>
    <t xml:space="preserve">Alumni of 1985 </t>
  </si>
  <si>
    <t>Class of 1990 Student Scholarship</t>
  </si>
  <si>
    <t>2018-03-16</t>
  </si>
  <si>
    <t>Class of 1990</t>
  </si>
  <si>
    <t>Class of 1995- Basketball Court</t>
  </si>
  <si>
    <t>50000000.00 ₹</t>
  </si>
  <si>
    <t>50,000,000.00 ₹</t>
  </si>
  <si>
    <t>2022-12-20</t>
  </si>
  <si>
    <t>Class of 1995</t>
  </si>
  <si>
    <t>Class of 1995- Basketball Court- Addendum</t>
  </si>
  <si>
    <t>16000000.00 ₹</t>
  </si>
  <si>
    <t>16,000,000.00 ₹</t>
  </si>
  <si>
    <t>2024-06-10</t>
  </si>
  <si>
    <t>Class of 1996</t>
  </si>
  <si>
    <t>118500000.00 ₹</t>
  </si>
  <si>
    <t>118,500,000.00 ₹</t>
  </si>
  <si>
    <t>Varda Rohilla</t>
  </si>
  <si>
    <t>Class of 1997</t>
  </si>
  <si>
    <t>120000000.00 ₹</t>
  </si>
  <si>
    <t>120,000,000.00 ₹</t>
  </si>
  <si>
    <t>2023-10-06</t>
  </si>
  <si>
    <t>Class of 1998 - Maker space , Greatest Need and other(New MoU  - Part 1)</t>
  </si>
  <si>
    <t>115000000.00 ₹</t>
  </si>
  <si>
    <t>115,000,000.00 ₹</t>
  </si>
  <si>
    <t>2024-03-11</t>
  </si>
  <si>
    <t>Class of 1998</t>
  </si>
  <si>
    <t>Class of 1998 - Travel grant for UG students</t>
  </si>
  <si>
    <t>2019-09-11</t>
  </si>
  <si>
    <t>Travel Grant</t>
  </si>
  <si>
    <t>Class of 1998 Chair for Quantum Computing</t>
  </si>
  <si>
    <t>2019-11-08</t>
  </si>
  <si>
    <t>Class of 1998 - Ashutosh Gore</t>
  </si>
  <si>
    <t>Class of 1998: SWC (New MoU  - Part 2)</t>
  </si>
  <si>
    <t>2025-03-11</t>
  </si>
  <si>
    <t>CMInDS - Arpit Mathur</t>
  </si>
  <si>
    <t>1000000.00 $</t>
  </si>
  <si>
    <t>74,452,450.00 ₹</t>
  </si>
  <si>
    <t>2022-01-20</t>
  </si>
  <si>
    <t>Arpit Mathur</t>
  </si>
  <si>
    <t>CMInDS - HF - Shruti and Kashyap</t>
  </si>
  <si>
    <t>76,102,150.00 ₹</t>
  </si>
  <si>
    <t>2022-03-22</t>
  </si>
  <si>
    <t>Shruti Mahajan Deorah and Kashyap Deorah</t>
  </si>
  <si>
    <t>CMInDS- Mohan Lakhamraju</t>
  </si>
  <si>
    <t>375000000.00 ₹</t>
  </si>
  <si>
    <t>375,000,000.00 ₹</t>
  </si>
  <si>
    <t>2022-08-31</t>
  </si>
  <si>
    <t>Nidhi Mathur</t>
  </si>
  <si>
    <t>Mohan Lakhamraju</t>
  </si>
  <si>
    <t>CoaL India - Paediatric Oncology</t>
  </si>
  <si>
    <t>8700000.00 ₹</t>
  </si>
  <si>
    <t>8,700,000.00 ₹</t>
  </si>
  <si>
    <t>2025-09-02</t>
  </si>
  <si>
    <t>Coal India- Dissemination of innovative rural technology</t>
  </si>
  <si>
    <t>20724000.00 ₹</t>
  </si>
  <si>
    <t>20,724,000.00 ₹</t>
  </si>
  <si>
    <t>2021-12-06</t>
  </si>
  <si>
    <t>Coal India Limited</t>
  </si>
  <si>
    <t>Coal India-R&amp;D</t>
  </si>
  <si>
    <t>18240045.00 ₹</t>
  </si>
  <si>
    <t>18,240,045.00 ₹</t>
  </si>
  <si>
    <t>2023-11-22</t>
  </si>
  <si>
    <t>Coal India Ltd</t>
  </si>
  <si>
    <t>CoE Oil, Gas and Energy 5 Chairs</t>
  </si>
  <si>
    <t>PSU Oil, Gas and Energy</t>
  </si>
  <si>
    <t>CSR in Chem by KEVA</t>
  </si>
  <si>
    <t>2060000.00 ₹</t>
  </si>
  <si>
    <t>2,060,000.00 ₹</t>
  </si>
  <si>
    <t>2020-03-01</t>
  </si>
  <si>
    <t>Keva Fragrances</t>
  </si>
  <si>
    <t>CTARA Awards</t>
  </si>
  <si>
    <t>2023-07-14</t>
  </si>
  <si>
    <t>2023-03-01</t>
  </si>
  <si>
    <t>Arunima Parida</t>
  </si>
  <si>
    <t>Bakul Rao and Prasanna Rao</t>
  </si>
  <si>
    <t>Cummins Chair Professorship</t>
  </si>
  <si>
    <t>2023-08-11</t>
  </si>
  <si>
    <t>2023-09-30</t>
  </si>
  <si>
    <t>Cummins Technologies India Pvt Ltd</t>
  </si>
  <si>
    <t>Cytiva Point of Care R&amp;D</t>
  </si>
  <si>
    <t>1732000.00 ₹</t>
  </si>
  <si>
    <t>1,732,000.00 ₹</t>
  </si>
  <si>
    <t>2022-03-24</t>
  </si>
  <si>
    <t>Cytiva</t>
  </si>
  <si>
    <t xml:space="preserve">D J Gandhi Distinguished Visiting Professorship </t>
  </si>
  <si>
    <t>7354000.00 ₹</t>
  </si>
  <si>
    <t>7,354,000.00 ₹</t>
  </si>
  <si>
    <t>2004-01-01</t>
  </si>
  <si>
    <t>Dhrumil Gandhi</t>
  </si>
  <si>
    <t>Dana India - EV Power Train Lab - Academia Partnership Program</t>
  </si>
  <si>
    <t>2024-09-13</t>
  </si>
  <si>
    <t>2024-04-01</t>
  </si>
  <si>
    <t>Dana India Technical Centre Pvt Ltd</t>
  </si>
  <si>
    <t>Dassault Amendment - R &amp; D</t>
  </si>
  <si>
    <t>1100000.00 ₹</t>
  </si>
  <si>
    <t>1,100,000.00 ₹</t>
  </si>
  <si>
    <t>1.5</t>
  </si>
  <si>
    <t>Dassault Systemes Foundation</t>
  </si>
  <si>
    <t>Deepak and Maya Satwalekar Lab (Design and Making Lab)</t>
  </si>
  <si>
    <t>67000000.00 ₹</t>
  </si>
  <si>
    <t>67,000,000.00 ₹</t>
  </si>
  <si>
    <t>2022-03-10</t>
  </si>
  <si>
    <t>2022-03-20</t>
  </si>
  <si>
    <t>Deepak M Satwalekar</t>
  </si>
  <si>
    <t>Demonstration of electrodes and electrodeposition in Alumina for high power electronics applications</t>
  </si>
  <si>
    <t>2100000.00 ₹</t>
  </si>
  <si>
    <t>2,100,000.00 ₹</t>
  </si>
  <si>
    <t>2024-12-19</t>
  </si>
  <si>
    <t>MKS Atotech</t>
  </si>
  <si>
    <t>Deutsche Manch</t>
  </si>
  <si>
    <t>2020-10-01</t>
  </si>
  <si>
    <t>Deutsche CIB Centre Private Limited</t>
  </si>
  <si>
    <t>Deutsche Manch New Academic Program</t>
  </si>
  <si>
    <t>2022-11-28</t>
  </si>
  <si>
    <t>0.6</t>
  </si>
  <si>
    <t>Development of IIT Campus School Building -Hytech Group</t>
  </si>
  <si>
    <t>Hytech Group</t>
  </si>
  <si>
    <t>Dhananjay Joshi Endowment Fund</t>
  </si>
  <si>
    <t>2019-03-08</t>
  </si>
  <si>
    <t>Veena Joshi</t>
  </si>
  <si>
    <t>Digital Trust Shridhar Shukla Chair</t>
  </si>
  <si>
    <t>37500000.00 ₹</t>
  </si>
  <si>
    <t>37,500,000.00 ₹</t>
  </si>
  <si>
    <t>2022-07-28</t>
  </si>
  <si>
    <t>Shridhar Shukla</t>
  </si>
  <si>
    <t>Dilip Bhagwat Auto Clay Lab</t>
  </si>
  <si>
    <t>25000000.00 ₹</t>
  </si>
  <si>
    <t>25,000,000.00 ₹</t>
  </si>
  <si>
    <t>2024-03-21</t>
  </si>
  <si>
    <t xml:space="preserve">Dilip Bhagwat </t>
  </si>
  <si>
    <t>Dilip Limaye Academic excellence award</t>
  </si>
  <si>
    <t>21000.00 $</t>
  </si>
  <si>
    <t>968,990.61 ₹</t>
  </si>
  <si>
    <t>2003-07-25</t>
  </si>
  <si>
    <t>2004-06-01</t>
  </si>
  <si>
    <t>Ryan Limaye</t>
  </si>
  <si>
    <t>DMART Scholarship Fellowship</t>
  </si>
  <si>
    <t>30000000.00 ₹</t>
  </si>
  <si>
    <t>30,000,000.00 ₹</t>
  </si>
  <si>
    <t>2022-03-15</t>
  </si>
  <si>
    <t>DMART FOundation</t>
  </si>
  <si>
    <t>Donation for Procuring Lab Equipments - HLE Glascoat Limited</t>
  </si>
  <si>
    <t>2021-08-21</t>
  </si>
  <si>
    <t>HLE Glascoat Limited</t>
  </si>
  <si>
    <t>Donation Received from Ayyar Family</t>
  </si>
  <si>
    <t>28959600.00 ₹</t>
  </si>
  <si>
    <t>28,959,600.00 ₹</t>
  </si>
  <si>
    <t>2024-08-23</t>
  </si>
  <si>
    <t>Ayyar Family</t>
  </si>
  <si>
    <t>Doshi &amp; Raghunathan Student Awards</t>
  </si>
  <si>
    <t>2024-05-27</t>
  </si>
  <si>
    <t>2023-05-27</t>
  </si>
  <si>
    <t>Dr. Pankaj Doshi &amp; Dr. Anuradha Raghunathan</t>
  </si>
  <si>
    <t>Dr Jayanarayan Hotchand Lala: High Speed Flow Diagnostic Lab in Aerosp</t>
  </si>
  <si>
    <t>125000.00 $</t>
  </si>
  <si>
    <t>10,275,031.25 ₹</t>
  </si>
  <si>
    <t>2022-10-12</t>
  </si>
  <si>
    <t xml:space="preserve">Dr Jayanarayan Hotchand Lala </t>
  </si>
  <si>
    <t>Dr Niren Laxmixhand Nagda Award</t>
  </si>
  <si>
    <t>400000.00 ₹</t>
  </si>
  <si>
    <t>400,000.00 ₹</t>
  </si>
  <si>
    <t>2024-04-16</t>
  </si>
  <si>
    <t>Mrs. Jaya Nagda</t>
  </si>
  <si>
    <t>Dr. Ajay Yeri Memorial Award</t>
  </si>
  <si>
    <t>300000.00 ₹</t>
  </si>
  <si>
    <t>300,000.00 ₹</t>
  </si>
  <si>
    <t>2025-08-29</t>
  </si>
  <si>
    <t>Mr. Avikshit Yeri</t>
  </si>
  <si>
    <t>Dr. Ajay Yeri Memorial Lecture Series</t>
  </si>
  <si>
    <t>Lecture Series</t>
  </si>
  <si>
    <t>Structcon Designs Pvt Ltd</t>
  </si>
  <si>
    <t>Dr. D.T. Manwani Chair in Electric Vehicles</t>
  </si>
  <si>
    <t>172000.00 $</t>
  </si>
  <si>
    <t>14,265,172.60 ₹</t>
  </si>
  <si>
    <t>Amit Manwani</t>
  </si>
  <si>
    <t>Dr. Gargi Vishnoi memorial prize</t>
  </si>
  <si>
    <t>2005-08-21</t>
  </si>
  <si>
    <t>2007-06-01</t>
  </si>
  <si>
    <t>Gargi Vishnoi</t>
  </si>
  <si>
    <t>Dr. Indira Mahadevan Scholarship</t>
  </si>
  <si>
    <t>5200000.00 ₹</t>
  </si>
  <si>
    <t>5,200,000.00 ₹</t>
  </si>
  <si>
    <t>2021-01-06</t>
  </si>
  <si>
    <t>Gopal Ratnam</t>
  </si>
  <si>
    <t>Dr. K.V. Ramachandran Chair for Statistics and Mathematics</t>
  </si>
  <si>
    <t>2022-08-19</t>
  </si>
  <si>
    <t>Dr. Viswanath Ramachandran</t>
  </si>
  <si>
    <t>Dr. Manu Akula Memorial Award for Academic Excellence  in CTaM</t>
  </si>
  <si>
    <t>2023-04-24</t>
  </si>
  <si>
    <t>Anirudh Akula &amp; Dr. Ihab Ismail</t>
  </si>
  <si>
    <t>Dr. P K Kelkar Chair for Nanotechnology</t>
  </si>
  <si>
    <t>2008-08-27</t>
  </si>
  <si>
    <t>First Batch of 1962</t>
  </si>
  <si>
    <t>Dr. P. R. Sharadamani Chair Professorship - Chemistry (Mr Bala Chandrasekharan)</t>
  </si>
  <si>
    <t>14,021,465.80 ₹</t>
  </si>
  <si>
    <t>2022-11-19</t>
  </si>
  <si>
    <t>Bala Chandrasekharan and Jayashree Subramanian</t>
  </si>
  <si>
    <t>Dr. P.R. Sharadamani Chemistry Chair Professorship</t>
  </si>
  <si>
    <t>14,175,948.29 ₹</t>
  </si>
  <si>
    <t>2022-10-15</t>
  </si>
  <si>
    <t>Bala Chandrashekharan</t>
  </si>
  <si>
    <t>Dr. P.V. Sukhatme Chair in Biostatistics</t>
  </si>
  <si>
    <t>2021-10-12</t>
  </si>
  <si>
    <t>Prof. Suhas Sukhatme</t>
  </si>
  <si>
    <t>Dr. Pramod Chaudhari Alumni Continuing Education Centre</t>
  </si>
  <si>
    <t>2021-11-25</t>
  </si>
  <si>
    <t>Dr. Pramod Chaudhari</t>
  </si>
  <si>
    <t xml:space="preserve">Dr. Pramod Chaudhari Chair </t>
  </si>
  <si>
    <t>5100000.00 ₹</t>
  </si>
  <si>
    <t>5,100,000.00 ₹</t>
  </si>
  <si>
    <t>2010-08-06</t>
  </si>
  <si>
    <t>Dr. Purnima Jhaveri Scholarship</t>
  </si>
  <si>
    <t>66000.00 $</t>
  </si>
  <si>
    <t>2025-11-22</t>
  </si>
  <si>
    <t>Mr. Parimal Pravinchandra Jhaveri</t>
  </si>
  <si>
    <t>Dr. Rinti Banerjee Visiting Chair Professorship</t>
  </si>
  <si>
    <t>2022-10-11</t>
  </si>
  <si>
    <t>Dr. Prasad and Rekha Koita , Others</t>
  </si>
  <si>
    <t>DR. SUHAS PAI FUND FPGA &amp; AISC</t>
  </si>
  <si>
    <t>32460.00 $</t>
  </si>
  <si>
    <t>1,944,797.73 ₹</t>
  </si>
  <si>
    <t>2014-04-02</t>
  </si>
  <si>
    <t>Dr Suhas pai</t>
  </si>
  <si>
    <t>Dr. V. N. Kamath Award</t>
  </si>
  <si>
    <t>75000.00 ₹</t>
  </si>
  <si>
    <t>75,000.00 ₹</t>
  </si>
  <si>
    <t>2012-06-01</t>
  </si>
  <si>
    <t>Vinayak Kamath</t>
  </si>
  <si>
    <t>Drone Based Water Quality Monitoring</t>
  </si>
  <si>
    <t>2189000.00 ₹</t>
  </si>
  <si>
    <t>2,189,000.00 ₹</t>
  </si>
  <si>
    <t>2024-11-15</t>
  </si>
  <si>
    <t>IRCTC</t>
  </si>
  <si>
    <t>DS Foundation Scholarships</t>
  </si>
  <si>
    <t>336000000.00 ₹</t>
  </si>
  <si>
    <t>336,000,000.00 ₹</t>
  </si>
  <si>
    <t>2025-07-30</t>
  </si>
  <si>
    <t>The DS Foundation, Inc</t>
  </si>
  <si>
    <t>DSCE Infra</t>
  </si>
  <si>
    <t>2750000.00 $</t>
  </si>
  <si>
    <t>191,868,564.25 ₹</t>
  </si>
  <si>
    <t>2018-11-30</t>
  </si>
  <si>
    <t>3.5</t>
  </si>
  <si>
    <t>Shekhar Ranjan</t>
  </si>
  <si>
    <t>DS Foundation</t>
  </si>
  <si>
    <t>E Cell - Class of 1985</t>
  </si>
  <si>
    <t>2011-08-18</t>
  </si>
  <si>
    <t>e Mudhra Ltd.</t>
  </si>
  <si>
    <t>2022-08-01</t>
  </si>
  <si>
    <t>0.69</t>
  </si>
  <si>
    <t>ECell_Healthcare Segment_Emil Pharmaceutical 2025</t>
  </si>
  <si>
    <t>0.9</t>
  </si>
  <si>
    <t xml:space="preserve">Emil Pharmaceutical </t>
  </si>
  <si>
    <t>eClinicWorks - R&amp;D</t>
  </si>
  <si>
    <t>17500000.00 ₹</t>
  </si>
  <si>
    <t>17,500,000.00 ₹</t>
  </si>
  <si>
    <t>2023-07-10</t>
  </si>
  <si>
    <t>eClinic Works India Private Limited</t>
  </si>
  <si>
    <t>Econometrics Lab - Gagan Singh Fund</t>
  </si>
  <si>
    <t>7200000.00 ₹</t>
  </si>
  <si>
    <t>7,200,000.00 ₹</t>
  </si>
  <si>
    <t>2021-02-25</t>
  </si>
  <si>
    <t>Gagan Singh</t>
  </si>
  <si>
    <t>Ekal Fellowship</t>
  </si>
  <si>
    <t>2019-10-02</t>
  </si>
  <si>
    <t>2020-01-24</t>
  </si>
  <si>
    <t>Ekal Vidyalaya</t>
  </si>
  <si>
    <t>ELNET Technologies Limited</t>
  </si>
  <si>
    <t>1440000.00 ₹</t>
  </si>
  <si>
    <t>1,440,000.00 ₹</t>
  </si>
  <si>
    <t>2020-02-13</t>
  </si>
  <si>
    <t>Emil Pharmaceutical - Sponsorship for Eureka  2023, E Cell IIT Bombay</t>
  </si>
  <si>
    <t>800000.00 ₹</t>
  </si>
  <si>
    <t>800,000.00 ₹</t>
  </si>
  <si>
    <t>2023-11-11</t>
  </si>
  <si>
    <t>2023-10-01</t>
  </si>
  <si>
    <t>Emil Pharmaceutical Industries Pvt. Ltd</t>
  </si>
  <si>
    <t xml:space="preserve">eMudra Ltd - R&amp; D Project - 2nd Amendment </t>
  </si>
  <si>
    <t xml:space="preserve">eMudra Ltd </t>
  </si>
  <si>
    <t>Entrepreneurship devt program for Girl</t>
  </si>
  <si>
    <t>8000000.00 ₹</t>
  </si>
  <si>
    <t>8,000,000.00 ₹</t>
  </si>
  <si>
    <t>2019-03-13</t>
  </si>
  <si>
    <t xml:space="preserve">CGI Information Systems and Management Consultants Pvt Ltd </t>
  </si>
  <si>
    <t xml:space="preserve">Erach and Meheroo Mehta Advanced Education </t>
  </si>
  <si>
    <t>Ruyintan E. Mehta</t>
  </si>
  <si>
    <t>ESR technology Limited- R&amp;D</t>
  </si>
  <si>
    <t>2688960.00 ₹</t>
  </si>
  <si>
    <t>2,688,960.00 ₹</t>
  </si>
  <si>
    <t>2024-06-12</t>
  </si>
  <si>
    <t>ESR technology Limited</t>
  </si>
  <si>
    <t>Establishing a HiMedia - Bioinnovation Laboratory at WRCB</t>
  </si>
  <si>
    <t>2023-11-01</t>
  </si>
  <si>
    <t>Hi Media Laboratories</t>
  </si>
  <si>
    <t>EVEREST Auditorium Naming</t>
  </si>
  <si>
    <t>2023-03-20</t>
  </si>
  <si>
    <t>EVEEREST Food Products Pvt Ltd</t>
  </si>
  <si>
    <t>Everest Foods Charitable Trust Scholarship</t>
  </si>
  <si>
    <t>10125500.00 ₹</t>
  </si>
  <si>
    <t>10,125,500.00 ₹</t>
  </si>
  <si>
    <t>2025-10-14</t>
  </si>
  <si>
    <t>Everest Foods Charitable Trust</t>
  </si>
  <si>
    <t>Evergreen : Class of 2009</t>
  </si>
  <si>
    <t>4743557.00 ₹</t>
  </si>
  <si>
    <t>4,743,557.00 ₹</t>
  </si>
  <si>
    <t>2025-10-07</t>
  </si>
  <si>
    <t>Class of 2009</t>
  </si>
  <si>
    <t>Evonik India Student Awards</t>
  </si>
  <si>
    <t>5250000.00 ₹</t>
  </si>
  <si>
    <t>5,250,000.00 ₹</t>
  </si>
  <si>
    <t>2024-07-19</t>
  </si>
  <si>
    <t>Evonik India Private Limited</t>
  </si>
  <si>
    <t>Evonik- Lab Equipment - Chemical</t>
  </si>
  <si>
    <t>Evonik Catalysts India PVT LTD</t>
  </si>
  <si>
    <t xml:space="preserve">Facebook </t>
  </si>
  <si>
    <t>1890000.00 ₹</t>
  </si>
  <si>
    <t>1,890,000.00 ₹</t>
  </si>
  <si>
    <t>2020-03-02</t>
  </si>
  <si>
    <t>Facebook</t>
  </si>
  <si>
    <t>Facebook + CRIS</t>
  </si>
  <si>
    <t>8559191.00 ₹</t>
  </si>
  <si>
    <t>8,559,191.00 ₹</t>
  </si>
  <si>
    <t>2024-07-10</t>
  </si>
  <si>
    <t>FAP: Class of 1970 (Part 2)</t>
  </si>
  <si>
    <t>2025-10-03</t>
  </si>
  <si>
    <t>Class of 1970</t>
  </si>
  <si>
    <t>FedEx - Center for Advanced Logistics and Analytics</t>
  </si>
  <si>
    <t>5408728.00 $</t>
  </si>
  <si>
    <t>450,712,279.04 ₹</t>
  </si>
  <si>
    <t>2023-11-29</t>
  </si>
  <si>
    <t>FEDEX CORPORATE SERVICES, INC</t>
  </si>
  <si>
    <t>Fem Construction Pvt Ltd</t>
  </si>
  <si>
    <t>FICCI - NCETIS Phase II</t>
  </si>
  <si>
    <t>2190467.00 ₹</t>
  </si>
  <si>
    <t>2,190,467.00 ₹</t>
  </si>
  <si>
    <t>FICCI</t>
  </si>
  <si>
    <t>Fifth Amendment - Tata Consulting Engineers Ltd</t>
  </si>
  <si>
    <t>13300000.00 ₹</t>
  </si>
  <si>
    <t>13,300,000.00 ₹</t>
  </si>
  <si>
    <t>2025-01-17</t>
  </si>
  <si>
    <t>Tata Consulting Engineers Ltd</t>
  </si>
  <si>
    <t>First solar India_Organic Solar Cells</t>
  </si>
  <si>
    <t>3619050.00 ₹</t>
  </si>
  <si>
    <t>3,619,050.00 ₹</t>
  </si>
  <si>
    <t>2024-03-14</t>
  </si>
  <si>
    <t>First Solar India Pvt Ltd</t>
  </si>
  <si>
    <t>Flipkart R&amp;D Prof Pushpak</t>
  </si>
  <si>
    <t>2022-12-15</t>
  </si>
  <si>
    <t>Flipkart</t>
  </si>
  <si>
    <t>Flipkart Umbrella MoU</t>
  </si>
  <si>
    <t>Forbes Marshall Chair for Energy Science and Engineering</t>
  </si>
  <si>
    <t>2011-10-13</t>
  </si>
  <si>
    <t>Forbes Marshall</t>
  </si>
  <si>
    <t>Forbes Marshall M. Tech Programme</t>
  </si>
  <si>
    <t>1562000.00 ₹</t>
  </si>
  <si>
    <t>1,562,000.00 ₹</t>
  </si>
  <si>
    <t>2015-03-27</t>
  </si>
  <si>
    <t>Fourth Amendment -Tata Consulting Engineers - R&amp;D</t>
  </si>
  <si>
    <t>Tata Consulting Engineers Limited</t>
  </si>
  <si>
    <t xml:space="preserve">G K Devarajulu Chair </t>
  </si>
  <si>
    <t>6500000.00 ₹</t>
  </si>
  <si>
    <t>6,500,000.00 ₹</t>
  </si>
  <si>
    <t>1996-09-13</t>
  </si>
  <si>
    <t>TMMA India</t>
  </si>
  <si>
    <t>G. H. Raisoni Awards</t>
  </si>
  <si>
    <t>2025-07-17</t>
  </si>
  <si>
    <t>Ankush Shikshan Sanstha iof Raisoni Education</t>
  </si>
  <si>
    <t>G.K. Trivedi Award Lecture</t>
  </si>
  <si>
    <t>2670000.00 ₹</t>
  </si>
  <si>
    <t>2,670,000.00 ₹</t>
  </si>
  <si>
    <t>2021-11-24</t>
  </si>
  <si>
    <t>Department of Chemistry Alums</t>
  </si>
  <si>
    <t>Garware Technical- R&amp;D</t>
  </si>
  <si>
    <t>2024-03-19</t>
  </si>
  <si>
    <t xml:space="preserve">Garware Technical Fibres Foundation </t>
  </si>
  <si>
    <t>Gauri Shah Endowment Fund</t>
  </si>
  <si>
    <t>20500000.00 ₹</t>
  </si>
  <si>
    <t>20,500,000.00 ₹</t>
  </si>
  <si>
    <t>2020-02-03</t>
  </si>
  <si>
    <t>Mayur Datar</t>
  </si>
  <si>
    <t>Gauri Shah Women Endowment Fund</t>
  </si>
  <si>
    <t>10520000.00 ₹</t>
  </si>
  <si>
    <t>10,520,000.00 ₹</t>
  </si>
  <si>
    <t>2019-05-03</t>
  </si>
  <si>
    <t>Getinge - Prof Rohit Shrivastava - R&amp;D</t>
  </si>
  <si>
    <t>2750000.00 ₹</t>
  </si>
  <si>
    <t>2,750,000.00 ₹</t>
  </si>
  <si>
    <t>2022-07-21</t>
  </si>
  <si>
    <t>Getinge Medical India Pvt Ltd</t>
  </si>
  <si>
    <t>Global Energy and Environmental  Engineering Services Ltd. (GE3S) for Team Shunya</t>
  </si>
  <si>
    <t>550000.00 ₹</t>
  </si>
  <si>
    <t>550,000.00 ₹</t>
  </si>
  <si>
    <t>2024-04-06</t>
  </si>
  <si>
    <t>Global Energy and Environmental  Engineering Services Ltd. (GE3S)</t>
  </si>
  <si>
    <t xml:space="preserve">GMP Lab BSBE </t>
  </si>
  <si>
    <t>70000000.00 ₹</t>
  </si>
  <si>
    <t>70,000,000.00 ₹</t>
  </si>
  <si>
    <t>2022-01-27</t>
  </si>
  <si>
    <t>Raj Nair</t>
  </si>
  <si>
    <t>Gogri Hub for Membranes Research &amp;#150; a Unit of Translational Research Centre - Chemicals and Materials, IIT Bombay</t>
  </si>
  <si>
    <t>400100000.00 ₹</t>
  </si>
  <si>
    <t>400,100,000.00 ₹</t>
  </si>
  <si>
    <t>Renil Rajendra Gogri and Mirik Rajendra Gogr</t>
  </si>
  <si>
    <t>Goldman Sachs R&amp;D</t>
  </si>
  <si>
    <t>7150000.00 ₹</t>
  </si>
  <si>
    <t>7,150,000.00 ₹</t>
  </si>
  <si>
    <t>2020-01-31</t>
  </si>
  <si>
    <t>Goldman Sachs</t>
  </si>
  <si>
    <t>Goldman Sacs</t>
  </si>
  <si>
    <t>2020-02-14</t>
  </si>
  <si>
    <t>2020-01-01</t>
  </si>
  <si>
    <t>Google Asia Pacific Grant</t>
  </si>
  <si>
    <t>13243500.00 ₹</t>
  </si>
  <si>
    <t>13,243,500.00 ₹</t>
  </si>
  <si>
    <t>2025-10-16</t>
  </si>
  <si>
    <t>2025-11-03</t>
  </si>
  <si>
    <t>Google Asia Pacific</t>
  </si>
  <si>
    <t xml:space="preserve">Google Cloud Chair Professor </t>
  </si>
  <si>
    <t>2023-09-01</t>
  </si>
  <si>
    <t>Google India</t>
  </si>
  <si>
    <t>Gupshup-CMInDS</t>
  </si>
  <si>
    <t>2022-06-16</t>
  </si>
  <si>
    <t>Gupshup Technologies India Pvt. Ltd.</t>
  </si>
  <si>
    <t>H. N. Kothari Scholarship</t>
  </si>
  <si>
    <t>1088000.00 ₹</t>
  </si>
  <si>
    <t>1,088,000.00 ₹</t>
  </si>
  <si>
    <t>2022-03-03</t>
  </si>
  <si>
    <t>Sarla harsukh Kothari</t>
  </si>
  <si>
    <t xml:space="preserve">Halepete Family Chair in AI </t>
  </si>
  <si>
    <t>2018-08-24</t>
  </si>
  <si>
    <t>Sameer Halepete</t>
  </si>
  <si>
    <t>Halepete Scholarships</t>
  </si>
  <si>
    <t>132000.00 $</t>
  </si>
  <si>
    <t>11,328,438.53 ₹</t>
  </si>
  <si>
    <t>2025-07-11</t>
  </si>
  <si>
    <t>50.0</t>
  </si>
  <si>
    <t>Mr. Sameer Halepete</t>
  </si>
  <si>
    <t>HDFC ERGO</t>
  </si>
  <si>
    <t>2021-08-03</t>
  </si>
  <si>
    <t>HDFC ERGO General Insurance Company Ltd.</t>
  </si>
  <si>
    <t>HDFC Ergo CMInDS fellowships</t>
  </si>
  <si>
    <t>1364000.00 ₹</t>
  </si>
  <si>
    <t>1,364,000.00 ₹</t>
  </si>
  <si>
    <t>2022-06-10</t>
  </si>
  <si>
    <t>0.8</t>
  </si>
  <si>
    <t>HDFC Ergo General Insurance Company Ltd.</t>
  </si>
  <si>
    <t>HDFC Ergo Scholarships</t>
  </si>
  <si>
    <t>1632000.00 ₹</t>
  </si>
  <si>
    <t>1,632,000.00 ₹</t>
  </si>
  <si>
    <t xml:space="preserve">HEFA </t>
  </si>
  <si>
    <t>4300000.00 ₹</t>
  </si>
  <si>
    <t>4,300,000.00 ₹</t>
  </si>
  <si>
    <t>2023-06-06</t>
  </si>
  <si>
    <t xml:space="preserve">Higher Education Financing Agency </t>
  </si>
  <si>
    <t>Hella India Automotive Private Ltd</t>
  </si>
  <si>
    <t>Hella India Automotive Private Ltd : Medical Drone Delivery System</t>
  </si>
  <si>
    <t>Hella India Automotive Pvt LTD_20.01.25</t>
  </si>
  <si>
    <t>2025-01-20</t>
  </si>
  <si>
    <t>2025-01-01</t>
  </si>
  <si>
    <t>Hella India Automotive Pvt LTD</t>
  </si>
  <si>
    <t>Hexagon Nutrition - R&amp;D - Health Care</t>
  </si>
  <si>
    <t>2025-05-10</t>
  </si>
  <si>
    <t xml:space="preserve">	 Hexagon Nutrition</t>
  </si>
  <si>
    <t>Himashu Patel Chair in Applied Biosciences</t>
  </si>
  <si>
    <t>2020-12-07</t>
  </si>
  <si>
    <t>Himanshu Patel</t>
  </si>
  <si>
    <t>Hindi Vidya Bhavan Gold Medal</t>
  </si>
  <si>
    <t>1999-07-01</t>
  </si>
  <si>
    <t>Hindi Vidya Bhavan</t>
  </si>
  <si>
    <t>Hindu University of America</t>
  </si>
  <si>
    <t>2835000.00 ₹</t>
  </si>
  <si>
    <t>2,835,000.00 ₹</t>
  </si>
  <si>
    <t>2022-01-21</t>
  </si>
  <si>
    <t>2022-04-01</t>
  </si>
  <si>
    <t xml:space="preserve">Hindustan Aeronautics Limited Chair </t>
  </si>
  <si>
    <t>13000000.00 ₹</t>
  </si>
  <si>
    <t>13,000,000.00 ₹</t>
  </si>
  <si>
    <t>2014-05-21</t>
  </si>
  <si>
    <t>Hindustan Aeronautics Limited</t>
  </si>
  <si>
    <t>1729407.00 ₹</t>
  </si>
  <si>
    <t>1,729,407.00 ₹</t>
  </si>
  <si>
    <t>2025-04-22</t>
  </si>
  <si>
    <t>MR. DILEEP BHANDARKAR</t>
  </si>
  <si>
    <t>175000000.00 ₹</t>
  </si>
  <si>
    <t>175,000,000.00 ₹</t>
  </si>
  <si>
    <t>Hostel 5 Study Block &amp; Toilet Block</t>
  </si>
  <si>
    <t>2020-11-01</t>
  </si>
  <si>
    <t>2020-11-13</t>
  </si>
  <si>
    <t>Volunteers of Hostel 5</t>
  </si>
  <si>
    <t>Hostel 6: Kishore Rajapurkar</t>
  </si>
  <si>
    <t>3500000.00 ₹</t>
  </si>
  <si>
    <t>3,500,000.00 ₹</t>
  </si>
  <si>
    <t>2025-03-27</t>
  </si>
  <si>
    <t>Kishore Rajapurkar</t>
  </si>
  <si>
    <t>Hostel 6: Vivek Manohar Padhye</t>
  </si>
  <si>
    <t>2025-09-01</t>
  </si>
  <si>
    <t>Vivek Manohar Padhye</t>
  </si>
  <si>
    <t>Hostel-6/Evergreen</t>
  </si>
  <si>
    <t>1000000000.00 ₹</t>
  </si>
  <si>
    <t>1,000,000,000.00 ₹</t>
  </si>
  <si>
    <t>2025-03-24</t>
  </si>
  <si>
    <t>Ritesh Arora, Nakul Agarwal, BrowserStack</t>
  </si>
  <si>
    <t>Hotchand Lala Award</t>
  </si>
  <si>
    <t>635000.00 ₹</t>
  </si>
  <si>
    <t>635,000.00 ₹</t>
  </si>
  <si>
    <t>2010-02-01</t>
  </si>
  <si>
    <t>Hotchand Lala</t>
  </si>
  <si>
    <t>HPCL MTECH Fellowship</t>
  </si>
  <si>
    <t>2018-04-01</t>
  </si>
  <si>
    <t>6.0</t>
  </si>
  <si>
    <t>HPCL</t>
  </si>
  <si>
    <t>HSBC - CRCCP</t>
  </si>
  <si>
    <t>18854000.00 ₹</t>
  </si>
  <si>
    <t>18,854,000.00 ₹</t>
  </si>
  <si>
    <t>2023-07-31</t>
  </si>
  <si>
    <t>2.45</t>
  </si>
  <si>
    <t>HSBC</t>
  </si>
  <si>
    <t>HSBC - Innovation in Green Hydrogen Programme</t>
  </si>
  <si>
    <t>72930000.00 ₹</t>
  </si>
  <si>
    <t>72,930,000.00 ₹</t>
  </si>
  <si>
    <t>HSBC Green Hydrogen Programme - Amendment</t>
  </si>
  <si>
    <t>2024-10-23</t>
  </si>
  <si>
    <t>2.7</t>
  </si>
  <si>
    <t>HSBC Limited</t>
  </si>
  <si>
    <t>HSBC Strengthening Indias semiconductor ecosystem through skill development</t>
  </si>
  <si>
    <t>10105000.00 ₹</t>
  </si>
  <si>
    <t>10,105,000.00 ₹</t>
  </si>
  <si>
    <t>2025-10-17</t>
  </si>
  <si>
    <t>Vinayak Darkunde</t>
  </si>
  <si>
    <t>Hongkong Shanghai Bank Corporation Limited (HSBC)</t>
  </si>
  <si>
    <t>Huawei -CSR scholarship</t>
  </si>
  <si>
    <t>1820000.00 ₹</t>
  </si>
  <si>
    <t>1,820,000.00 ₹</t>
  </si>
  <si>
    <t>2020-03-31</t>
  </si>
  <si>
    <t>2019-04-01</t>
  </si>
  <si>
    <t>Huawei Technologies India Pvt. Ltd.</t>
  </si>
  <si>
    <t>Hydrological assessment Deonadi CTARA</t>
  </si>
  <si>
    <t>3807200.00 ₹</t>
  </si>
  <si>
    <t>3,807,200.00 ₹</t>
  </si>
  <si>
    <t>The Nature Conservancy Centre</t>
  </si>
  <si>
    <t>ICICI-BETIC</t>
  </si>
  <si>
    <t>716100000.00 ₹</t>
  </si>
  <si>
    <t>716,100,000.00 ₹</t>
  </si>
  <si>
    <t>2025-01-02</t>
  </si>
  <si>
    <t>ICICI Foundation</t>
  </si>
  <si>
    <t>IDBI_Shabdamitra</t>
  </si>
  <si>
    <t>IDBI Intech Ltd</t>
  </si>
  <si>
    <t>IEOR Alumnus Endowment Fund</t>
  </si>
  <si>
    <t>2021-06-21</t>
  </si>
  <si>
    <t>Nivesh Kumar</t>
  </si>
  <si>
    <t>IIFL Foundation Scholarships</t>
  </si>
  <si>
    <t>86790000.00 ₹</t>
  </si>
  <si>
    <t>86,790,000.00 ₹</t>
  </si>
  <si>
    <t>2025-08-01</t>
  </si>
  <si>
    <t>India Infoline Foundation</t>
  </si>
  <si>
    <t>IIT Bombay International Award</t>
  </si>
  <si>
    <t>21000000.00 ₹</t>
  </si>
  <si>
    <t>21,000,000.00 ₹</t>
  </si>
  <si>
    <t>Sandeep Naik and Shantanu Rastogi</t>
  </si>
  <si>
    <t>IIT Bombay- Honeywell CoE for Future Skills</t>
  </si>
  <si>
    <t>348051498.00 ₹</t>
  </si>
  <si>
    <t>348,051,498.00 ₹</t>
  </si>
  <si>
    <t>2025-12-18</t>
  </si>
  <si>
    <t>Honeywell Hometown Solutions India Foundation</t>
  </si>
  <si>
    <t xml:space="preserve">IIT Bombay- Mphasis Research Lab in Privacy-Enabled Technology for Security in Finance </t>
  </si>
  <si>
    <t>260000000.00 ₹</t>
  </si>
  <si>
    <t>260,000,000.00 ₹</t>
  </si>
  <si>
    <t>2025-10-29</t>
  </si>
  <si>
    <t>2025-10-30</t>
  </si>
  <si>
    <t>Mphasis F1 Foundation</t>
  </si>
  <si>
    <t>IITB - Metrohm Symposium &amp; Young Chemist Award</t>
  </si>
  <si>
    <t>2018-06-28</t>
  </si>
  <si>
    <t>Metrohm India Ltd.</t>
  </si>
  <si>
    <t>IITB Racing Team - Infineon Technologies India Pvt Ltd</t>
  </si>
  <si>
    <t>2025-02-04</t>
  </si>
  <si>
    <t>INFINEON TECHNOLOGIES SEMICONDUCTOR INDIA PRIVATE LIMITED</t>
  </si>
  <si>
    <t>IITB Trust Lab - Shridhar Shukla</t>
  </si>
  <si>
    <t>252500000.00 ₹</t>
  </si>
  <si>
    <t>252,500,000.00 ₹</t>
  </si>
  <si>
    <t>Dr. Shridhar Shukla</t>
  </si>
  <si>
    <t>IITB-Bank of America Innovation Lab (BACI)</t>
  </si>
  <si>
    <t>2025-11-27</t>
  </si>
  <si>
    <t>3.4</t>
  </si>
  <si>
    <t>2025-11-28</t>
  </si>
  <si>
    <t>BACI - Bank of America Subsidiary</t>
  </si>
  <si>
    <t>IITB-Groww INV.ENT Program</t>
  </si>
  <si>
    <t>236300000.00 ₹</t>
  </si>
  <si>
    <t>236,300,000.00 ₹</t>
  </si>
  <si>
    <t>2025-10-31</t>
  </si>
  <si>
    <t>2025-11-01</t>
  </si>
  <si>
    <t>Groww Invest Tech Private Limited</t>
  </si>
  <si>
    <t>IITM_NPTEL Chair Faculty</t>
  </si>
  <si>
    <t>2025-11-18</t>
  </si>
  <si>
    <t>2026-01-01</t>
  </si>
  <si>
    <t>IIT Madras</t>
  </si>
  <si>
    <t>Inani Chair in Semiconductor Technology</t>
  </si>
  <si>
    <t>14,114,638.20 ₹</t>
  </si>
  <si>
    <t>2023-07-17</t>
  </si>
  <si>
    <t>Anand Inani</t>
  </si>
  <si>
    <t>India Value Fund Chair for HSS</t>
  </si>
  <si>
    <t>2010-12-31</t>
  </si>
  <si>
    <t>Mr. Mahesh Krishnamurthy</t>
  </si>
  <si>
    <t>Indinfravit_Construction of sustainable bituminous pavements</t>
  </si>
  <si>
    <t>11000000.00 ₹</t>
  </si>
  <si>
    <t>11,000,000.00 ₹</t>
  </si>
  <si>
    <t>2024-02-05</t>
  </si>
  <si>
    <t>Mumbai Nasik Expressway Pvt Ltd</t>
  </si>
  <si>
    <t>INDIRA FOUNDATION</t>
  </si>
  <si>
    <t>3186365.00 ₹</t>
  </si>
  <si>
    <t>3,186,365.00 ₹</t>
  </si>
  <si>
    <t>2013-03-16</t>
  </si>
  <si>
    <t>Avinash Manudane</t>
  </si>
  <si>
    <t>Inductotherm</t>
  </si>
  <si>
    <t>7500000.00 ₹</t>
  </si>
  <si>
    <t>7,500,000.00 ₹</t>
  </si>
  <si>
    <t>Inductotherm India Pvt Ltd</t>
  </si>
  <si>
    <t>Indus Tower Limited</t>
  </si>
  <si>
    <t>2025-03-19</t>
  </si>
  <si>
    <t>0.33</t>
  </si>
  <si>
    <t>2025-03-15</t>
  </si>
  <si>
    <t xml:space="preserve">Indus Tower Limited </t>
  </si>
  <si>
    <t>Indus Tower Limited (Additional Contribution)</t>
  </si>
  <si>
    <t>2723455.00 ₹</t>
  </si>
  <si>
    <t>2,723,455.00 ₹</t>
  </si>
  <si>
    <t>2025-06-24</t>
  </si>
  <si>
    <t>Indus Tower Part 3</t>
  </si>
  <si>
    <t>84776545.00 ₹</t>
  </si>
  <si>
    <t>84,776,545.00 ₹</t>
  </si>
  <si>
    <t>Indus Towers Limited</t>
  </si>
  <si>
    <t xml:space="preserve">Infineon Technologies India Pvt Ltd  fund for IIT Bombay Racing </t>
  </si>
  <si>
    <t>2023-11-07</t>
  </si>
  <si>
    <t>Infineon Technologies India Pvt Ltd</t>
  </si>
  <si>
    <t>Ingenero SINE</t>
  </si>
  <si>
    <t>4232000.00 ₹</t>
  </si>
  <si>
    <t>4,232,000.00 ₹</t>
  </si>
  <si>
    <t>2019-03-01</t>
  </si>
  <si>
    <t>Ingenero Technolgies (India) Pvt Ltd</t>
  </si>
  <si>
    <t>Ingenero Technologies- R&amp;D - Green Hydrogen</t>
  </si>
  <si>
    <t>2025-02-27</t>
  </si>
  <si>
    <t>Ingenero Technologies</t>
  </si>
  <si>
    <t>Ingenero Technologies_Machinery Diagnostics</t>
  </si>
  <si>
    <t>4400000.00 ₹</t>
  </si>
  <si>
    <t>4,400,000.00 ₹</t>
  </si>
  <si>
    <t>2025-03-06</t>
  </si>
  <si>
    <t>Ingenero_Fertilizers from the Air</t>
  </si>
  <si>
    <t>2700000.00 ₹</t>
  </si>
  <si>
    <t>2,700,000.00 ₹</t>
  </si>
  <si>
    <t>2024-03-15</t>
  </si>
  <si>
    <t>Ingenero Technologies India Pvt Ltd</t>
  </si>
  <si>
    <t>Inox Chair in Cryogenics</t>
  </si>
  <si>
    <t>2021-11-26</t>
  </si>
  <si>
    <t xml:space="preserve">Inox </t>
  </si>
  <si>
    <t>INOX Cryogenics Lab</t>
  </si>
  <si>
    <t>27500000.00 ₹</t>
  </si>
  <si>
    <t>27,500,000.00 ₹</t>
  </si>
  <si>
    <t>2021-12-04</t>
  </si>
  <si>
    <t>INOX Group of Companies</t>
  </si>
  <si>
    <t>INOX Scholarship</t>
  </si>
  <si>
    <t>272000.00 ₹</t>
  </si>
  <si>
    <t>272,000.00 ₹</t>
  </si>
  <si>
    <t>INOX India Pvt. Ltd.</t>
  </si>
  <si>
    <t>INOXPA scholarship</t>
  </si>
  <si>
    <t>2021-08-20</t>
  </si>
  <si>
    <t>INOXPA India Pvt. Ltd.</t>
  </si>
  <si>
    <t>Integrated Waste Management Facility</t>
  </si>
  <si>
    <t>136000.00 ₹</t>
  </si>
  <si>
    <t>136,000.00 ₹</t>
  </si>
  <si>
    <t>2021-03-03</t>
  </si>
  <si>
    <t xml:space="preserve">Vivek Menezes </t>
  </si>
  <si>
    <t>Intel Corporation</t>
  </si>
  <si>
    <t>11990.00 $</t>
  </si>
  <si>
    <t>1,026,344.00 ₹</t>
  </si>
  <si>
    <t>2025-06-25</t>
  </si>
  <si>
    <t>Invention Factory</t>
  </si>
  <si>
    <t>13500000.00 ₹</t>
  </si>
  <si>
    <t>13,500,000.00 ₹</t>
  </si>
  <si>
    <t>2023-01-23</t>
  </si>
  <si>
    <t>Maker Bhavan Foundation</t>
  </si>
  <si>
    <t>IRCTC - CSR Document R&amp;D</t>
  </si>
  <si>
    <t>506200.00 ₹</t>
  </si>
  <si>
    <t>506,200.00 ₹</t>
  </si>
  <si>
    <t>2022-03-28</t>
  </si>
  <si>
    <t>IRCTC - R&amp;D - Prof. Rohit S</t>
  </si>
  <si>
    <t>6050000.00 ₹</t>
  </si>
  <si>
    <t>6,050,000.00 ₹</t>
  </si>
  <si>
    <t>2024-12-23</t>
  </si>
  <si>
    <t>Indian Railway Catering and Tourism Corporation Ltd. (IRCTC)</t>
  </si>
  <si>
    <t>IRCTC - Scale-up of Biodegadable plastic</t>
  </si>
  <si>
    <t>Issues of systemic reforms &amp; improvement</t>
  </si>
  <si>
    <t>510000.00 ₹</t>
  </si>
  <si>
    <t>510,000.00 ₹</t>
  </si>
  <si>
    <t>Wipro Foundation</t>
  </si>
  <si>
    <t>Ivy Cap Ventures- Entrepreneurship</t>
  </si>
  <si>
    <t>3800000.00 ₹</t>
  </si>
  <si>
    <t>3,800,000.00 ₹</t>
  </si>
  <si>
    <t>2023-07-20</t>
  </si>
  <si>
    <t>Ivy Cap Ventures Advisors Pvt. Ltd.</t>
  </si>
  <si>
    <t>Jalnidhi Bitumen Specialities Pvt. Ltd.</t>
  </si>
  <si>
    <t>2023-05-25</t>
  </si>
  <si>
    <t>Jane Street - IITB Chair Professorship</t>
  </si>
  <si>
    <t>JSI Investments Private Limited</t>
  </si>
  <si>
    <t>Jane Street Scholarship</t>
  </si>
  <si>
    <t>1710000.00 ₹</t>
  </si>
  <si>
    <t>1,710,000.00 ₹</t>
  </si>
  <si>
    <t>JSI Investments Pvt. Ltd.</t>
  </si>
  <si>
    <t>Janki Foundation-Postpartum Depression</t>
  </si>
  <si>
    <t>176000.00 $</t>
  </si>
  <si>
    <t>14,660,880.96 ₹</t>
  </si>
  <si>
    <t>2023-12-15</t>
  </si>
  <si>
    <t>Janki Foundation</t>
  </si>
  <si>
    <t>Jaswant Goyal and Krithi Ramamritham Travel Support</t>
  </si>
  <si>
    <t>2080000.00 ₹</t>
  </si>
  <si>
    <t>2,080,000.00 ₹</t>
  </si>
  <si>
    <t>2023-11-17</t>
  </si>
  <si>
    <t>8.0</t>
  </si>
  <si>
    <t>Prakhar Goyal</t>
  </si>
  <si>
    <t>Jaywant M. Nabar Scholarship</t>
  </si>
  <si>
    <t>2022-07-23</t>
  </si>
  <si>
    <t>Mr. Nabar</t>
  </si>
  <si>
    <t>Jindal Stainless Chair Professor</t>
  </si>
  <si>
    <t>2023-09-07</t>
  </si>
  <si>
    <t>Jindal Stainless Limited</t>
  </si>
  <si>
    <t>Jitendra K. &amp; Meena J Mehta Chair Professor of Struc Eng.</t>
  </si>
  <si>
    <t>7,427,158.80 ₹</t>
  </si>
  <si>
    <t>2013-12-28</t>
  </si>
  <si>
    <t>Jitendra K Mehta</t>
  </si>
  <si>
    <t>Jitendra Mohan_Swapana Samant_H9</t>
  </si>
  <si>
    <t>7500000.00 $</t>
  </si>
  <si>
    <t>632,970,375.00 ₹</t>
  </si>
  <si>
    <t>2024-11-19</t>
  </si>
  <si>
    <t>Jitendra Mohan &amp; Swapna Samant</t>
  </si>
  <si>
    <t>JSW - Infrastructure</t>
  </si>
  <si>
    <t>160000000.00 ₹</t>
  </si>
  <si>
    <t>160,000,000.00 ₹</t>
  </si>
  <si>
    <t>2022-08-18</t>
  </si>
  <si>
    <t>JSW IP Holdings Private Limited</t>
  </si>
  <si>
    <t>JSW - IRCC</t>
  </si>
  <si>
    <t>67500000.00 ₹</t>
  </si>
  <si>
    <t>67,500,000.00 ₹</t>
  </si>
  <si>
    <t>JSW Steel Limited</t>
  </si>
  <si>
    <t>JSW - Sajjan Jindal Chair</t>
  </si>
  <si>
    <t xml:space="preserve">JSW Overall </t>
  </si>
  <si>
    <t>JSW Group</t>
  </si>
  <si>
    <t>JUZER VASI</t>
  </si>
  <si>
    <t>2023-01-19</t>
  </si>
  <si>
    <t>2023-02-19</t>
  </si>
  <si>
    <t>K CORP FOUNDATION</t>
  </si>
  <si>
    <t>3916536.00 ₹</t>
  </si>
  <si>
    <t>3,916,536.00 ₹</t>
  </si>
  <si>
    <t>2024-02-21</t>
  </si>
  <si>
    <t>K CORP CHARITBLE FOUNDATION</t>
  </si>
  <si>
    <t>K Corp-Fellowship Topup for CTARA Fellows</t>
  </si>
  <si>
    <t>1320000.00 ₹</t>
  </si>
  <si>
    <t>1,320,000.00 ₹</t>
  </si>
  <si>
    <t>2024-08-12</t>
  </si>
  <si>
    <t>K Corp Charitable Foundation</t>
  </si>
  <si>
    <t>K. Seshia  research excellence award</t>
  </si>
  <si>
    <t>3000.00 $</t>
  </si>
  <si>
    <t>189,987.00 ₹</t>
  </si>
  <si>
    <t>2018-01-05</t>
  </si>
  <si>
    <t>Prof. Ashwin Seshia</t>
  </si>
  <si>
    <t>Kamakshi Narayanan Scholarship</t>
  </si>
  <si>
    <t>1040000.00 ₹</t>
  </si>
  <si>
    <t>1,040,000.00 ₹</t>
  </si>
  <si>
    <t>2021-03-05</t>
  </si>
  <si>
    <t>2021-03-09</t>
  </si>
  <si>
    <t>Prof. N. Venkatramani</t>
  </si>
  <si>
    <t>Kanitkar Merit Award</t>
  </si>
  <si>
    <t>8,195,665.50 ₹</t>
  </si>
  <si>
    <t>Late Mr. Jayant Kanitkar</t>
  </si>
  <si>
    <t>Kapoor ACCESS Awards</t>
  </si>
  <si>
    <t>16,524,610.00 ₹</t>
  </si>
  <si>
    <t>2023-03-16</t>
  </si>
  <si>
    <t>Vinaya Kapoor and Samir Kapoor</t>
  </si>
  <si>
    <t>Kapoor Award in CSE</t>
  </si>
  <si>
    <t>200000.00 ₹</t>
  </si>
  <si>
    <t>200,000.00 ₹</t>
  </si>
  <si>
    <t>2023-08-18</t>
  </si>
  <si>
    <t>Jeewan Kapoor</t>
  </si>
  <si>
    <t>KCDH Renovation</t>
  </si>
  <si>
    <t>2022-11-07</t>
  </si>
  <si>
    <t>Rizwan and Rekha Koita</t>
  </si>
  <si>
    <t>KCDH-Amendment</t>
  </si>
  <si>
    <t>30900000.00 ₹</t>
  </si>
  <si>
    <t>30,900,000.00 ₹</t>
  </si>
  <si>
    <t>Kelvion</t>
  </si>
  <si>
    <t>2016-05-24</t>
  </si>
  <si>
    <t>Kelvion CSR</t>
  </si>
  <si>
    <t>Keva Fragnances-R&amp;D</t>
  </si>
  <si>
    <t>2024-03-20</t>
  </si>
  <si>
    <t>Keva Fragnances Pvt. Ltd.</t>
  </si>
  <si>
    <t>Kinetic Chair Professor in Mobility and Electronics</t>
  </si>
  <si>
    <t>2024-02-15</t>
  </si>
  <si>
    <t>KISEM ( NEW)</t>
  </si>
  <si>
    <t>2025-08-25</t>
  </si>
  <si>
    <t>Kotak IITM</t>
  </si>
  <si>
    <t>Kishore Seendripu - Naming</t>
  </si>
  <si>
    <t>5000000.00 $</t>
  </si>
  <si>
    <t>416,652,750.00 ₹</t>
  </si>
  <si>
    <t xml:space="preserve">Kishore Seendripu </t>
  </si>
  <si>
    <t>Koita Centre for Digital Health</t>
  </si>
  <si>
    <t>2021-06-03</t>
  </si>
  <si>
    <t>Rizwan Koita, Rekha Koita, Koita Foundation</t>
  </si>
  <si>
    <t>Kongsberg Digital AS- Software License</t>
  </si>
  <si>
    <t>350000.00 $</t>
  </si>
  <si>
    <t>29,334,882.50 ₹</t>
  </si>
  <si>
    <t>Konsberg Digital AS</t>
  </si>
  <si>
    <t>Kongsberg R&amp;D</t>
  </si>
  <si>
    <t>4750000.00 ₹</t>
  </si>
  <si>
    <t>4,750,000.00 ₹</t>
  </si>
  <si>
    <t>2023-09-29</t>
  </si>
  <si>
    <t>Kongsberg Digital Software &amp; Services Pvt Ltd.</t>
  </si>
  <si>
    <t>Konsberg Digital AS- Software License</t>
  </si>
  <si>
    <t>Kotak Education Foundation - Scholarship</t>
  </si>
  <si>
    <t>3750000.00 ₹</t>
  </si>
  <si>
    <t>3,750,000.00 ₹</t>
  </si>
  <si>
    <t>Kotak Education Foundation</t>
  </si>
  <si>
    <t>Kotak-IITM Save Energy Mission</t>
  </si>
  <si>
    <t>6110000.00 ₹</t>
  </si>
  <si>
    <t>6,110,000.00 ₹</t>
  </si>
  <si>
    <t>2022-05-10</t>
  </si>
  <si>
    <t>KV School New Wing</t>
  </si>
  <si>
    <t>2021-09-30</t>
  </si>
  <si>
    <t>L &amp; T -Student Satellite Program</t>
  </si>
  <si>
    <t>1430000.00 ₹</t>
  </si>
  <si>
    <t>1,430,000.00 ₹</t>
  </si>
  <si>
    <t>L &amp; T Infotech Ltd.</t>
  </si>
  <si>
    <t xml:space="preserve">L&amp;T Chair Professor </t>
  </si>
  <si>
    <t>1996-01-08</t>
  </si>
  <si>
    <t>L&amp;T</t>
  </si>
  <si>
    <t>L&amp;T Technology - Setting up high-end  metabolomics facility at IIT Bombay with applications in bioenergy research and human diagnostics.</t>
  </si>
  <si>
    <t>14000000.00 ₹</t>
  </si>
  <si>
    <t>14,000,000.00 ₹</t>
  </si>
  <si>
    <t>2023-02-10</t>
  </si>
  <si>
    <t xml:space="preserve"> L &amp; T Technology Services Limited </t>
  </si>
  <si>
    <t>L&amp;T Technology - Translational research facility at BSBE</t>
  </si>
  <si>
    <t>2022.0</t>
  </si>
  <si>
    <t>L&amp;T Technology Services Limited</t>
  </si>
  <si>
    <t>L&amp;T Technology-Hardware Security for Trust Lab</t>
  </si>
  <si>
    <t>2200000.00 ₹</t>
  </si>
  <si>
    <t>2,200,000.00 ₹</t>
  </si>
  <si>
    <t>0.1</t>
  </si>
  <si>
    <t>Lab Instruments funded by Nouryon Chemicals</t>
  </si>
  <si>
    <t>2024-03-13</t>
  </si>
  <si>
    <t>Nouryon Chemicals India Private Limited</t>
  </si>
  <si>
    <t>Lalit Keshre_Cancer Immunotherapy</t>
  </si>
  <si>
    <t>2025-11-17</t>
  </si>
  <si>
    <t>2025-12-17</t>
  </si>
  <si>
    <t>Lalit Keshre</t>
  </si>
  <si>
    <t>Late Bibhuti Kundu Memorial Award</t>
  </si>
  <si>
    <t>150000.00 ₹</t>
  </si>
  <si>
    <t>150,000.00 ₹</t>
  </si>
  <si>
    <t>Ms. Kamalkoli Kundu</t>
  </si>
  <si>
    <t>Late shri Girish Vishnuprasad award for excellence</t>
  </si>
  <si>
    <t>2017-01-05</t>
  </si>
  <si>
    <t>Madhusudan Shah</t>
  </si>
  <si>
    <t>LavinStar Logistics - Higher Education &amp; Research</t>
  </si>
  <si>
    <t>663834.00 ₹</t>
  </si>
  <si>
    <t>663,834.00 ₹</t>
  </si>
  <si>
    <t>2023-12-05</t>
  </si>
  <si>
    <t>LavinStar Logistics Pvt Ltd.</t>
  </si>
  <si>
    <t>Leadership Capacity Building_Rajesh Mashruwala</t>
  </si>
  <si>
    <t>500000.00 $</t>
  </si>
  <si>
    <t>43,000,175.00 ₹</t>
  </si>
  <si>
    <t>2025-03-21</t>
  </si>
  <si>
    <t xml:space="preserve">Rajesh Mashruwala  </t>
  </si>
  <si>
    <t>Legacy 1980 - Design and Making Lab</t>
  </si>
  <si>
    <t>15100000.00 ₹</t>
  </si>
  <si>
    <t>15,100,000.00 ₹</t>
  </si>
  <si>
    <t>2022-04-28</t>
  </si>
  <si>
    <t>Legacy Batch 1980</t>
  </si>
  <si>
    <t>Legacy of Class of 1988</t>
  </si>
  <si>
    <t>5715338.00 ₹</t>
  </si>
  <si>
    <t>5,715,338.00 ₹</t>
  </si>
  <si>
    <t>2015-02-26</t>
  </si>
  <si>
    <t>Class of 1988</t>
  </si>
  <si>
    <t>Lenovo-Trustlab CSR</t>
  </si>
  <si>
    <t>2050400.00 ₹</t>
  </si>
  <si>
    <t>2,050,400.00 ₹</t>
  </si>
  <si>
    <t>Lenovo</t>
  </si>
  <si>
    <t>LG Soft India</t>
  </si>
  <si>
    <t>2021-03-25</t>
  </si>
  <si>
    <t>1.3</t>
  </si>
  <si>
    <t>LG Soft India Pvt. Ltd</t>
  </si>
  <si>
    <t>LG SOFT R&amp;D New</t>
  </si>
  <si>
    <t>2023-02-22</t>
  </si>
  <si>
    <t>LG Soft India Pvt Ltd</t>
  </si>
  <si>
    <t>LG Soft_Shabdamitra_Ammendment</t>
  </si>
  <si>
    <t>2024-02-06</t>
  </si>
  <si>
    <t>2024-01-18</t>
  </si>
  <si>
    <t>Lionel J. DLuna - Lab - Bio MakerSpace</t>
  </si>
  <si>
    <t>89,148,050.00 ₹</t>
  </si>
  <si>
    <t>2025-11-24</t>
  </si>
  <si>
    <t>Lionel J. DLuna</t>
  </si>
  <si>
    <t>Lithasa Technologies Scholarship</t>
  </si>
  <si>
    <t>1140000.00 ₹</t>
  </si>
  <si>
    <t>1,140,000.00 ₹</t>
  </si>
  <si>
    <t>2025-04-11</t>
  </si>
  <si>
    <t>Lithasa Technologies Private Limited</t>
  </si>
  <si>
    <t>Lozeekart - Team SHUNYA</t>
  </si>
  <si>
    <t>2022-12-27</t>
  </si>
  <si>
    <t>Lozeekart Private Limited</t>
  </si>
  <si>
    <t>LP1973-EV Power Train Lab+Award</t>
  </si>
  <si>
    <t>67700000.00 ₹</t>
  </si>
  <si>
    <t>67,700,000.00 ₹</t>
  </si>
  <si>
    <t>2023-04-28</t>
  </si>
  <si>
    <t>2023-03-22</t>
  </si>
  <si>
    <t>Class of 1973</t>
  </si>
  <si>
    <t>LP74 - H.E.A.R.T.S - Legacy</t>
  </si>
  <si>
    <t>80000000.00 ₹</t>
  </si>
  <si>
    <t>80,000,000.00 ₹</t>
  </si>
  <si>
    <t>2025-04-23</t>
  </si>
  <si>
    <t>Batch of 1974</t>
  </si>
  <si>
    <t>LTI - Maitreyi C-MInDS</t>
  </si>
  <si>
    <t>Larsen &amp; Toubro Infotech Limited</t>
  </si>
  <si>
    <t>LUMINA-IITB Women Alumni Community</t>
  </si>
  <si>
    <t>2025-11-11</t>
  </si>
  <si>
    <t>Anil Kshirsagar</t>
  </si>
  <si>
    <t>Maccaferri</t>
  </si>
  <si>
    <t>1397451.00 ₹</t>
  </si>
  <si>
    <t>1,397,451.00 ₹</t>
  </si>
  <si>
    <t>MacDermid Alpha</t>
  </si>
  <si>
    <t>2024-09-09</t>
  </si>
  <si>
    <t>MacDermid Alpha (Amendment)</t>
  </si>
  <si>
    <t>2025-06-02</t>
  </si>
  <si>
    <t>MacDermid Alpha Electronics Solutions India Pvt Ltd</t>
  </si>
  <si>
    <t>Madan Avadhani</t>
  </si>
  <si>
    <t>52000.00 $</t>
  </si>
  <si>
    <t>4,576,096.20 ₹</t>
  </si>
  <si>
    <t>2025-10-21</t>
  </si>
  <si>
    <t>Madhuri Sinha Chair Prof in Biomedical engg</t>
  </si>
  <si>
    <t>5,440,308.00 ₹</t>
  </si>
  <si>
    <t>2000-08-02</t>
  </si>
  <si>
    <t>Dr. Krishna Sinha</t>
  </si>
  <si>
    <t>Maharashtra Pollution Control Board</t>
  </si>
  <si>
    <t>2011-07-05</t>
  </si>
  <si>
    <t xml:space="preserve">Maharashtra Pollution Control Board </t>
  </si>
  <si>
    <t>Mahesh Krishnamurthy R&amp;D</t>
  </si>
  <si>
    <t>1875500.00 ₹</t>
  </si>
  <si>
    <t>1,875,500.00 ₹</t>
  </si>
  <si>
    <t>2023-09-12</t>
  </si>
  <si>
    <t>Mahesh Navani-Janki Foundation-  Chemistry Lab Modernisation</t>
  </si>
  <si>
    <t>10,284,618.75 ₹</t>
  </si>
  <si>
    <t>2023-06-01</t>
  </si>
  <si>
    <t>Mahesh Navani-Janki Foundation- PhD Fellowship</t>
  </si>
  <si>
    <t>562500.00 $</t>
  </si>
  <si>
    <t>46,280,784.38 ₹</t>
  </si>
  <si>
    <t>Mahesh Navani and Asharani Navani</t>
  </si>
  <si>
    <t>Mahesh Navani-Janki Foundation- Student Scholarship</t>
  </si>
  <si>
    <t>275000.00 $</t>
  </si>
  <si>
    <t>22,626,161.25 ₹</t>
  </si>
  <si>
    <t>Mahesh Navani-Janki Foundation- Women Faculty Chair Professorship</t>
  </si>
  <si>
    <t>14,151,635.40 ₹</t>
  </si>
  <si>
    <t>2023-07-07</t>
  </si>
  <si>
    <t>Makers Space Balaji Srinivasan</t>
  </si>
  <si>
    <t>143000.00 $</t>
  </si>
  <si>
    <t>10,493,061.15 ₹</t>
  </si>
  <si>
    <t>2021-04-03</t>
  </si>
  <si>
    <t>Balaji Srinivasan</t>
  </si>
  <si>
    <t>Malini Vyavahare Memorial award</t>
  </si>
  <si>
    <t>2017-12-06</t>
  </si>
  <si>
    <t>Dr. Prakash Vyavahare</t>
  </si>
  <si>
    <t>Mazagaon Dock - Robotic welding for Shipbuilding: Sensor Based Automatic Programming with Collision Detection for Rapid Development at IITB</t>
  </si>
  <si>
    <t>2282500.00 ₹</t>
  </si>
  <si>
    <t>2,282,500.00 ₹</t>
  </si>
  <si>
    <t>0.29</t>
  </si>
  <si>
    <t>Mazagaon Dock Shipbuilder Ltd</t>
  </si>
  <si>
    <t>Mazagaon Dockyard-Improved adhesion and corrosion resistance for marine applications</t>
  </si>
  <si>
    <t>3385250.00 ₹</t>
  </si>
  <si>
    <t>3,385,250.00 ₹</t>
  </si>
  <si>
    <t>2023-12-11</t>
  </si>
  <si>
    <t>0.3</t>
  </si>
  <si>
    <t>MBF for CC &amp; ELL</t>
  </si>
  <si>
    <t>2021-01-26</t>
  </si>
  <si>
    <t>MBF-Sandbox</t>
  </si>
  <si>
    <t>5400000.00 ₹</t>
  </si>
  <si>
    <t>5,400,000.00 ₹</t>
  </si>
  <si>
    <t>2022-12-28</t>
  </si>
  <si>
    <t>Medianet Software Services-Scholarship</t>
  </si>
  <si>
    <t>6029273.00 ₹</t>
  </si>
  <si>
    <t>6,029,273.00 ₹</t>
  </si>
  <si>
    <t>MEDIA.NET SOFTWARE SERVICES (INDIA) PRIVATE LIMITED</t>
  </si>
  <si>
    <t>Megan Kacholia Fellowship</t>
  </si>
  <si>
    <t>2022-01-29</t>
  </si>
  <si>
    <t>Varun Kacholia</t>
  </si>
  <si>
    <t>Micro-device for Early Detection Of Cancer</t>
  </si>
  <si>
    <t>2300000.00 ₹</t>
  </si>
  <si>
    <t>2,300,000.00 ₹</t>
  </si>
  <si>
    <t>2019-06-24</t>
  </si>
  <si>
    <t>Dassault Systems Foundation</t>
  </si>
  <si>
    <t>Microsoft Research India PhD Fellowship</t>
  </si>
  <si>
    <t>2024-06-18</t>
  </si>
  <si>
    <t>Microsoft Research India Private Limited</t>
  </si>
  <si>
    <t>Mira Bhaindar Municipal Corporation - R&amp;D and Others</t>
  </si>
  <si>
    <t>2024-07-16</t>
  </si>
  <si>
    <t>Mira Bhaindar Municipal Corporation</t>
  </si>
  <si>
    <t>Mirae Asset Foundation (Scholarship)</t>
  </si>
  <si>
    <t>3696500.00 ₹</t>
  </si>
  <si>
    <t>3,696,500.00 ₹</t>
  </si>
  <si>
    <t>2025-09-18</t>
  </si>
  <si>
    <t>Mirae Asset Foundation</t>
  </si>
  <si>
    <t>Mirae Asset Foundation Fellowship</t>
  </si>
  <si>
    <t>1750000.00 ₹</t>
  </si>
  <si>
    <t>1,750,000.00 ₹</t>
  </si>
  <si>
    <t>2022-07-07</t>
  </si>
  <si>
    <t>MNET PARTNER TECHNOLOGY- Scholarship</t>
  </si>
  <si>
    <t>1063227.00 ₹</t>
  </si>
  <si>
    <t>1,063,227.00 ₹</t>
  </si>
  <si>
    <t>MNET PARTNER TECHNOLOGY SERVICES (INDIA) PRIVATE LIMITED</t>
  </si>
  <si>
    <t>Motilal Oswal Research Lab</t>
  </si>
  <si>
    <t>Motilal Oswal Financial Services Limited</t>
  </si>
  <si>
    <t>Motilal Oswal: Building &amp; Centre</t>
  </si>
  <si>
    <t>1302500000.00 ₹</t>
  </si>
  <si>
    <t>1,302,500,000.00 ₹</t>
  </si>
  <si>
    <t>2024-09-17</t>
  </si>
  <si>
    <t>Motilal Oswal Foundation</t>
  </si>
  <si>
    <t>Mr Dilip Wagle - Healthcare Delivery &amp; Research</t>
  </si>
  <si>
    <t>250000.00 $</t>
  </si>
  <si>
    <t>20,836,487.50 ₹</t>
  </si>
  <si>
    <t>2023-11-21</t>
  </si>
  <si>
    <t>Mr. Dilip Wagle</t>
  </si>
  <si>
    <t>Mr. Bharat Vinod Daftary Award</t>
  </si>
  <si>
    <t>2025-01-09</t>
  </si>
  <si>
    <t>Dr. Gautam Vinod Daftary</t>
  </si>
  <si>
    <t>Mr. Deepak Satwalekar- Space Tech Lab</t>
  </si>
  <si>
    <t>52200000.00 ₹</t>
  </si>
  <si>
    <t>52,200,000.00 ₹</t>
  </si>
  <si>
    <t>Deepak Satwalekar</t>
  </si>
  <si>
    <t>Mr. Ramesh Mangaleswaran- IITB Strategic Needs</t>
  </si>
  <si>
    <t>Ramesh Mangaleswaran</t>
  </si>
  <si>
    <t>Mrs. Padma Sivaramakrishnan Scholarship and Excellence Award</t>
  </si>
  <si>
    <t>2025-03-25</t>
  </si>
  <si>
    <t>Mrs. Padma Sivaramakrishnan</t>
  </si>
  <si>
    <t>MRS. PUSHPA PANDIT MEMORIAL B.TECH SCHOLARSHIP</t>
  </si>
  <si>
    <t>2020-12-24</t>
  </si>
  <si>
    <t>2021-07-15</t>
  </si>
  <si>
    <t>Manish Pandit</t>
  </si>
  <si>
    <t>MS. PRANITA SINGHVI MEMORIAL B.TECH SCHOLARSHIP</t>
  </si>
  <si>
    <t>2021-12-13</t>
  </si>
  <si>
    <t>Shri Singhvi</t>
  </si>
  <si>
    <t xml:space="preserve">N R Kamath Distinguished Institute Chair Professorship </t>
  </si>
  <si>
    <t>2014-11-11</t>
  </si>
  <si>
    <t xml:space="preserve">Jamshedji Tata Trust </t>
  </si>
  <si>
    <t>NA</t>
  </si>
  <si>
    <t>2025-03-12</t>
  </si>
  <si>
    <t>Mangesh Hirve</t>
  </si>
  <si>
    <t>Naik and Rastogi Award for Excellence in PhD Research</t>
  </si>
  <si>
    <t>19000000.00 ₹</t>
  </si>
  <si>
    <t>19,000,000.00 ₹</t>
  </si>
  <si>
    <t>2021-07-20</t>
  </si>
  <si>
    <t>Mr. Sandeep Naik and Mr. Shantanu Rastogi</t>
  </si>
  <si>
    <t>Nandan Nilekani - Strategic Initiatives</t>
  </si>
  <si>
    <t>3150000000.00 ₹</t>
  </si>
  <si>
    <t>3,150,000,000.00 ₹</t>
  </si>
  <si>
    <t>2023-06-20</t>
  </si>
  <si>
    <t>5.5</t>
  </si>
  <si>
    <t>Mr. Nandan Nilekani</t>
  </si>
  <si>
    <t>Narayana Guru Digital Research Resource Platform (NGDRRP)</t>
  </si>
  <si>
    <t>2023-04-10</t>
  </si>
  <si>
    <t xml:space="preserve">Shree Narayan Mandira Samiti </t>
  </si>
  <si>
    <t>National Peroxide Limited - R&amp;D</t>
  </si>
  <si>
    <t>2021-12-09</t>
  </si>
  <si>
    <t>National Peroxide Limited</t>
  </si>
  <si>
    <t>National Robotics League</t>
  </si>
  <si>
    <t>16500000.00 ₹</t>
  </si>
  <si>
    <t>16,500,000.00 ₹</t>
  </si>
  <si>
    <t>2025-07-18</t>
  </si>
  <si>
    <t>Param Capital Research Private Limited and Edunnovate Technologies Private Limited</t>
  </si>
  <si>
    <t>National Robotics League (NRL)</t>
  </si>
  <si>
    <t>2025-02-10</t>
  </si>
  <si>
    <t>Edunnovate Technologies Private Limited</t>
  </si>
  <si>
    <t>Neogen Chemicals Scholarship</t>
  </si>
  <si>
    <t>Neogen Chemicals Ltd.</t>
  </si>
  <si>
    <t>Netcore-To Drive Entrepreneurship@Scale at IIT Bombay</t>
  </si>
  <si>
    <t>2024-03-18</t>
  </si>
  <si>
    <t>Netcore Cloud Private Limited</t>
  </si>
  <si>
    <t>Newkem Engineers Scholarship</t>
  </si>
  <si>
    <t>285000.00 ₹</t>
  </si>
  <si>
    <t>285,000.00 ₹</t>
  </si>
  <si>
    <t>Newkem Engineers Pvt Ltd.</t>
  </si>
  <si>
    <t>Nisha and Rajesh Visiting Chair Professorship in Chemistry</t>
  </si>
  <si>
    <t>2019-12-07</t>
  </si>
  <si>
    <t>Rajesh Raman</t>
  </si>
  <si>
    <t>Nitish Thakor Award</t>
  </si>
  <si>
    <t>313950.00 ₹</t>
  </si>
  <si>
    <t>313,950.00 ₹</t>
  </si>
  <si>
    <t>2011-12-15</t>
  </si>
  <si>
    <t>2012-03-01</t>
  </si>
  <si>
    <t>Nitish Thakor</t>
  </si>
  <si>
    <t>NITORI International Scholarship</t>
  </si>
  <si>
    <t>2025-01-06</t>
  </si>
  <si>
    <t>2025-07-01</t>
  </si>
  <si>
    <t>NITORI International Scholarship Foundation</t>
  </si>
  <si>
    <t>NK Securities</t>
  </si>
  <si>
    <t>4200000.00 ₹</t>
  </si>
  <si>
    <t>4,200,000.00 ₹</t>
  </si>
  <si>
    <t>2024-02-09</t>
  </si>
  <si>
    <t>NK SECURITIES RESEARCH PVT LTD</t>
  </si>
  <si>
    <t>NK Securities Scholarship (AY 2025-26)</t>
  </si>
  <si>
    <t>2025-03-07</t>
  </si>
  <si>
    <t>OLA Foundation</t>
  </si>
  <si>
    <t>Ola Foundation</t>
  </si>
  <si>
    <t>ONGC Gold Medal Award</t>
  </si>
  <si>
    <t>2011-01-20</t>
  </si>
  <si>
    <t>2011-03-29</t>
  </si>
  <si>
    <t>ONGC</t>
  </si>
  <si>
    <t>Optiver AI Innovation Lab</t>
  </si>
  <si>
    <t>100700000.00 ₹</t>
  </si>
  <si>
    <t>100,700,000.00 ₹</t>
  </si>
  <si>
    <t>2025-09-16</t>
  </si>
  <si>
    <t>2025-09-17</t>
  </si>
  <si>
    <t>Optiver India Securities Private Limited</t>
  </si>
  <si>
    <t>Oracle - Research</t>
  </si>
  <si>
    <t>51100000.00 ₹</t>
  </si>
  <si>
    <t>51,100,000.00 ₹</t>
  </si>
  <si>
    <t>2022-09-16</t>
  </si>
  <si>
    <t>0.45</t>
  </si>
  <si>
    <t>Oracle Financial Services Software Limited</t>
  </si>
  <si>
    <t>Oracle Addendum</t>
  </si>
  <si>
    <t>7476480.00 ₹</t>
  </si>
  <si>
    <t>7,476,480.00 ₹</t>
  </si>
  <si>
    <t>Oracle Women Scholarships</t>
  </si>
  <si>
    <t>2023-05-08</t>
  </si>
  <si>
    <t>Oracle Financial Services Software Ltd.</t>
  </si>
  <si>
    <t>P.H.Shah Scholarship</t>
  </si>
  <si>
    <t>2900000.00 ₹</t>
  </si>
  <si>
    <t>2,900,000.00 ₹</t>
  </si>
  <si>
    <t>2025-07-21</t>
  </si>
  <si>
    <t>Mr. Chetan Shah</t>
  </si>
  <si>
    <t>Pamela and Shiv Khosla Merit Award</t>
  </si>
  <si>
    <t>17500.00 $</t>
  </si>
  <si>
    <t>1,398,566.82 ₹</t>
  </si>
  <si>
    <t>Prof. Chaitan Khosla</t>
  </si>
  <si>
    <t>Patient Centric Framework</t>
  </si>
  <si>
    <t>1800000.00 ₹</t>
  </si>
  <si>
    <t>1,800,000.00 ₹</t>
  </si>
  <si>
    <t>2019-02-01</t>
  </si>
  <si>
    <t>Perfect ID R&amp;D</t>
  </si>
  <si>
    <t>Perfect ID India Pvt Ltd</t>
  </si>
  <si>
    <t>Perfect ID-R&amp;D_2024</t>
  </si>
  <si>
    <t>3264497.00 ₹</t>
  </si>
  <si>
    <t>3,264,497.00 ₹</t>
  </si>
  <si>
    <t>2024-05-14</t>
  </si>
  <si>
    <t>Perfect ID India Private Limited</t>
  </si>
  <si>
    <t>Pharmachine R&amp;D</t>
  </si>
  <si>
    <t>2023-04-07</t>
  </si>
  <si>
    <t>2023-03-31</t>
  </si>
  <si>
    <t>Pharmachine Manufacturing Co.</t>
  </si>
  <si>
    <t>PHN Technology Pvt. Ltd.: Autonomous Robots and Multi-Systems Lab</t>
  </si>
  <si>
    <t>2732224.00 ₹</t>
  </si>
  <si>
    <t>2,732,224.00 ₹</t>
  </si>
  <si>
    <t xml:space="preserve">PHN Technology Pvt. Ltd. </t>
  </si>
  <si>
    <t>Portescap - R&amp;D - Vivek Sangwan Y2</t>
  </si>
  <si>
    <t>Portescap India Private Limited</t>
  </si>
  <si>
    <t xml:space="preserve">PORTESCAP Robotic Exoskeletons </t>
  </si>
  <si>
    <t>2023-03-23</t>
  </si>
  <si>
    <t>Portescape_2021</t>
  </si>
  <si>
    <t>2021-03-15</t>
  </si>
  <si>
    <t>Portescape</t>
  </si>
  <si>
    <t>Portescap_2015</t>
  </si>
  <si>
    <t>16800000.00 ₹</t>
  </si>
  <si>
    <t>16,800,000.00 ₹</t>
  </si>
  <si>
    <t>Portescap</t>
  </si>
  <si>
    <t>Pradman Engineering Services Scholarship</t>
  </si>
  <si>
    <t>652640.00 ₹</t>
  </si>
  <si>
    <t>652,640.00 ₹</t>
  </si>
  <si>
    <t>Pramaan Engineering Services Pvt. Ltd.</t>
  </si>
  <si>
    <t>Praj Industries Acadmic Excellence Award</t>
  </si>
  <si>
    <t>2019-03-20</t>
  </si>
  <si>
    <t>Praj Industries</t>
  </si>
  <si>
    <t xml:space="preserve">Praj Industries Chair </t>
  </si>
  <si>
    <t>2008-09-24</t>
  </si>
  <si>
    <t>Praj Industry</t>
  </si>
  <si>
    <t>Pramila Trust Scholarship</t>
  </si>
  <si>
    <t>22227200.00 ₹</t>
  </si>
  <si>
    <t>22,227,200.00 ₹</t>
  </si>
  <si>
    <t>2025-08-18</t>
  </si>
  <si>
    <t>Pramila Trust Limited</t>
  </si>
  <si>
    <t>Pratiti Technologies-R&amp;D</t>
  </si>
  <si>
    <t>Pratiti Technologies Pvt Ltd</t>
  </si>
  <si>
    <t>Priyadarshini Raman Pillai Postdoctoral Fellowship</t>
  </si>
  <si>
    <t>Unnikrishnan</t>
  </si>
  <si>
    <t>Procurement of Equipment</t>
  </si>
  <si>
    <t>2021-12-10</t>
  </si>
  <si>
    <t>Prof. D. M. Dhamdhere Chair Professorship for Excellence in Teaching Methods</t>
  </si>
  <si>
    <t>2022-11-13</t>
  </si>
  <si>
    <t>Prof. Ganapathy Shanmugam excellence award in Sedimentology and Petroleum Geology</t>
  </si>
  <si>
    <t>2021-04-08</t>
  </si>
  <si>
    <t>Prof. Ganapathy Shanmugam</t>
  </si>
  <si>
    <t>Prof. Hiralal Memorial prize</t>
  </si>
  <si>
    <t>2008-07-22</t>
  </si>
  <si>
    <t>Prof. Hiralal</t>
  </si>
  <si>
    <t xml:space="preserve">Prof. J. R. Isaac Chair Assistant Professor and Fellowships  </t>
  </si>
  <si>
    <t>244093.00 $</t>
  </si>
  <si>
    <t>11,305,293.00 ₹</t>
  </si>
  <si>
    <t>2000-10-11</t>
  </si>
  <si>
    <t>Dr. Vincent Fernandes</t>
  </si>
  <si>
    <t>Prof. Kartic Khilar Prize</t>
  </si>
  <si>
    <t>350000.00 ₹</t>
  </si>
  <si>
    <t>350,000.00 ₹</t>
  </si>
  <si>
    <t>2011-06-22</t>
  </si>
  <si>
    <t>Jayashree Khilar</t>
  </si>
  <si>
    <t>Prof. Madhav Kulkarni Gold Medal Award</t>
  </si>
  <si>
    <t>2008-02-04</t>
  </si>
  <si>
    <t>2008-03-10</t>
  </si>
  <si>
    <t>Mrs. Vidya Madhav Kulkarni</t>
  </si>
  <si>
    <t>Prof. Prabhakar Nadkarni scholarship (Donor : Sumedh Barde)</t>
  </si>
  <si>
    <t>1157200.00 ₹</t>
  </si>
  <si>
    <t>1,157,200.00 ₹</t>
  </si>
  <si>
    <t>2026-04-01</t>
  </si>
  <si>
    <t>Sumedh Barde</t>
  </si>
  <si>
    <t>prof. R. P. Singh Memorial Prize</t>
  </si>
  <si>
    <t>20000.00 ₹</t>
  </si>
  <si>
    <t>20,000.00 ₹</t>
  </si>
  <si>
    <t>1993-06-14</t>
  </si>
  <si>
    <t>Mrs. S. K. Singh</t>
  </si>
  <si>
    <t>Prof. Ramakrishna Vadrevu Award for Excellence</t>
  </si>
  <si>
    <t>50000.00 ₹</t>
  </si>
  <si>
    <t>50,000.00 ₹</t>
  </si>
  <si>
    <t>2025-07-09</t>
  </si>
  <si>
    <t>Mrs. Sudha Vadrevu</t>
  </si>
  <si>
    <t>Prof. S. C. Sahasrabudhe Lifetime Achievement Award</t>
  </si>
  <si>
    <t>55000.00 $</t>
  </si>
  <si>
    <t>3,984,433.75 ₹</t>
  </si>
  <si>
    <t>2021-02-22</t>
  </si>
  <si>
    <t>donors of Prof. S. C. Sahasrabudhe Memorial Fund</t>
  </si>
  <si>
    <t>Prof. S. N. Sinha Memorial Award</t>
  </si>
  <si>
    <t>2016-06-03</t>
  </si>
  <si>
    <t>Gaytri Sinha</t>
  </si>
  <si>
    <t>Prof. S.P. Sukhatme Scholarship</t>
  </si>
  <si>
    <t>Prof. S.P. Sukhatme</t>
  </si>
  <si>
    <t xml:space="preserve">Prof. T. R. R. Mohan Chair Professorship in Material Sciences and Microelectronics </t>
  </si>
  <si>
    <t>2020-12-21</t>
  </si>
  <si>
    <t>Dr. Kishore Seendripu</t>
  </si>
  <si>
    <t xml:space="preserve">Prof. Tarun Kant Endowed Chair in Computational Mechanics </t>
  </si>
  <si>
    <t>11500000.00 ₹</t>
  </si>
  <si>
    <t>11,500,000.00 ₹</t>
  </si>
  <si>
    <t>2020-03-19</t>
  </si>
  <si>
    <t xml:space="preserve">Alumni </t>
  </si>
  <si>
    <t xml:space="preserve">Prof. Wallace_Rural Data Research and Analysis (RuDRA) </t>
  </si>
  <si>
    <t>25000.00 $</t>
  </si>
  <si>
    <t>2,253,256.25 ₹</t>
  </si>
  <si>
    <t>2026-02-01</t>
  </si>
  <si>
    <t>Prof. Wallace</t>
  </si>
  <si>
    <t>PROF.KUSRE AWARD -DSSE</t>
  </si>
  <si>
    <t>JAGDISH SHETH</t>
  </si>
  <si>
    <t>Prof.P.K.Patwardhan Award</t>
  </si>
  <si>
    <t>2023-04-06</t>
  </si>
  <si>
    <t>Anand and Ajay Patwardhan</t>
  </si>
  <si>
    <t>Project Evergereen : Class of 1963</t>
  </si>
  <si>
    <t>5932000.00 ₹</t>
  </si>
  <si>
    <t>5,932,000.00 ₹</t>
  </si>
  <si>
    <t>2025-03-10</t>
  </si>
  <si>
    <t>Class of 1963</t>
  </si>
  <si>
    <t>Project Evergreen - Class 1983</t>
  </si>
  <si>
    <t>2025-04-01</t>
  </si>
  <si>
    <t>Class 1983</t>
  </si>
  <si>
    <t>Project Evergreen - Elysion Fintech Private Ltd</t>
  </si>
  <si>
    <t>Elysion Fintech Private Ltd</t>
  </si>
  <si>
    <t>Project Evergreen - IK Capital Advisers Private Limited</t>
  </si>
  <si>
    <t>IK Capital Advisers Private Limited</t>
  </si>
  <si>
    <t>Project Evergreen - Kamalesh Nayudu</t>
  </si>
  <si>
    <t>10000.00 $</t>
  </si>
  <si>
    <t>829,995.50 ₹</t>
  </si>
  <si>
    <t>2024-02-04</t>
  </si>
  <si>
    <t xml:space="preserve">Kamalesh Nayudu </t>
  </si>
  <si>
    <t>Project Evergreen - Kiran Deshmukh</t>
  </si>
  <si>
    <t xml:space="preserve">Kiran Deshmukh </t>
  </si>
  <si>
    <t>Project Evergreen - Shankar Ramanathan</t>
  </si>
  <si>
    <t>15000.00 $</t>
  </si>
  <si>
    <t>1,306,955.25 ₹</t>
  </si>
  <si>
    <t>Shankar Ramanathan</t>
  </si>
  <si>
    <t>Project Evergreen - Siddhartha Tomar</t>
  </si>
  <si>
    <t xml:space="preserve">Siddhartha Tomar </t>
  </si>
  <si>
    <t>Project Evergreen : Aadi and Arav Manwani wing</t>
  </si>
  <si>
    <t>128000.00 $</t>
  </si>
  <si>
    <t>10,615,942.40 ₹</t>
  </si>
  <si>
    <t xml:space="preserve">Amit </t>
  </si>
  <si>
    <t>Project Evergreen : Abidali Neemuchwala</t>
  </si>
  <si>
    <t>Abidali Neemuchwala</t>
  </si>
  <si>
    <t>Project Evergreen : Ashutosh Gore</t>
  </si>
  <si>
    <t>2025-02-05</t>
  </si>
  <si>
    <t>Ashutosh Gore</t>
  </si>
  <si>
    <t>Project Evergreen : Atul Thakkar</t>
  </si>
  <si>
    <t>8,343,035.00 ₹</t>
  </si>
  <si>
    <t>2023-12-10</t>
  </si>
  <si>
    <t>Atul Thakkar</t>
  </si>
  <si>
    <t>Project Evergreen : Class of 1972</t>
  </si>
  <si>
    <t>2025-11-06</t>
  </si>
  <si>
    <t>Class of 1972</t>
  </si>
  <si>
    <t>Project Evergreen : Class of 1992</t>
  </si>
  <si>
    <t>2024-11-28</t>
  </si>
  <si>
    <t>Class of 1992</t>
  </si>
  <si>
    <t>Project Evergreen : Coal India Ltd</t>
  </si>
  <si>
    <t>300000000.00 ₹</t>
  </si>
  <si>
    <t>300,000,000.00 ₹</t>
  </si>
  <si>
    <t>Coal Indian Ltd</t>
  </si>
  <si>
    <t>Project Evergreen : Hostel 7, 8 &amp; 21</t>
  </si>
  <si>
    <t>1700000000.00 ₹</t>
  </si>
  <si>
    <t>1,700,000,000.00 ₹</t>
  </si>
  <si>
    <t>2021-08-25</t>
  </si>
  <si>
    <t>Group of Alumni</t>
  </si>
  <si>
    <t>Project Evergreen : Jyotindra Trivedi</t>
  </si>
  <si>
    <t>Jyotindra Trivedi</t>
  </si>
  <si>
    <t>Project Evergreen : Kishor Kulkarni</t>
  </si>
  <si>
    <t>16120.00 $</t>
  </si>
  <si>
    <t>1,363,126.50 ₹</t>
  </si>
  <si>
    <t>2025-04-30</t>
  </si>
  <si>
    <t>Dr. Kishor Kulkarni</t>
  </si>
  <si>
    <t>Project Evergreen : Lalatendu Dash</t>
  </si>
  <si>
    <t>2080026.00 ₹</t>
  </si>
  <si>
    <t>2,080,026.00 ₹</t>
  </si>
  <si>
    <t>2024-11-10</t>
  </si>
  <si>
    <t>Lalatendu Dash</t>
  </si>
  <si>
    <t>Project Evergreen : LP 1994 ( addendum)</t>
  </si>
  <si>
    <t>2023-06-16</t>
  </si>
  <si>
    <t>C1994 LP</t>
  </si>
  <si>
    <t>Project Evergreen : LP 1998 (New MoU  - Part 3)</t>
  </si>
  <si>
    <t>LP 1998</t>
  </si>
  <si>
    <t>Project Evergreen : Mahesh Navani-Janki Foundation-Hostel Development</t>
  </si>
  <si>
    <t>16,455,390.00 ₹</t>
  </si>
  <si>
    <t>Project Evergreen : Mangesh Patankar</t>
  </si>
  <si>
    <t>Mangesh Patankar</t>
  </si>
  <si>
    <t>Project Evergreen : Manuvir Das</t>
  </si>
  <si>
    <t>820,185.50 ₹</t>
  </si>
  <si>
    <t>2023-03-10</t>
  </si>
  <si>
    <t>Manuvir Das</t>
  </si>
  <si>
    <t>Project Evergreen : Marine Drive</t>
  </si>
  <si>
    <t>13121000.00 ₹</t>
  </si>
  <si>
    <t>13,121,000.00 ₹</t>
  </si>
  <si>
    <t>Multiple represented by Satish Khatu</t>
  </si>
  <si>
    <t>Project Evergreen : Mira Jane</t>
  </si>
  <si>
    <t>40005.00 $</t>
  </si>
  <si>
    <t>3,370,421.25 ₹</t>
  </si>
  <si>
    <t>2025-05-13</t>
  </si>
  <si>
    <t>Ms. Mira Jane</t>
  </si>
  <si>
    <t>Project Evergreen : Nitin Garg</t>
  </si>
  <si>
    <t>Nitin Garg</t>
  </si>
  <si>
    <t>Project Evergreen : Prasad Baji</t>
  </si>
  <si>
    <t>1400000.00 ₹</t>
  </si>
  <si>
    <t>1,400,000.00 ₹</t>
  </si>
  <si>
    <t>2024-01-31</t>
  </si>
  <si>
    <t>Prasad Baji</t>
  </si>
  <si>
    <t>Project Evergreen : Rafael Colaco</t>
  </si>
  <si>
    <t>853,839.50 ₹</t>
  </si>
  <si>
    <t>2025-04-26</t>
  </si>
  <si>
    <t>Rafael Colaco</t>
  </si>
  <si>
    <t>Project Evergreen : Sandeep Arora</t>
  </si>
  <si>
    <t>Sandeep Arora</t>
  </si>
  <si>
    <t>Project Evergreen : Sanga Reddy Peerreddy</t>
  </si>
  <si>
    <t>2025-02-06</t>
  </si>
  <si>
    <t>Sanga Reddy Peerreddy</t>
  </si>
  <si>
    <t>Project Evergreen : Sanjay Dasgupta</t>
  </si>
  <si>
    <t>20,629,362.50 ₹</t>
  </si>
  <si>
    <t>Sanjay Dasgupta</t>
  </si>
  <si>
    <t>Project Evergreen : Shailee Mehta</t>
  </si>
  <si>
    <t>869,166.50 ₹</t>
  </si>
  <si>
    <t>2025-03-17</t>
  </si>
  <si>
    <t>Ms. Shailee Mehta</t>
  </si>
  <si>
    <t>Project Evergreen : Shirish Deodhar</t>
  </si>
  <si>
    <t>2024-01-21</t>
  </si>
  <si>
    <t>Shirish Deodhar</t>
  </si>
  <si>
    <t>Project Evergreen : Shorthills.AI</t>
  </si>
  <si>
    <t>Shorthills.AI Pawan Prabhat</t>
  </si>
  <si>
    <t>Project Evergreen : Shrikanth Shetty</t>
  </si>
  <si>
    <t>2024-12-06</t>
  </si>
  <si>
    <t>Shrikanth Shetty</t>
  </si>
  <si>
    <t>Project Evergreen : Sudhir Bangarambandi</t>
  </si>
  <si>
    <t>2025-01-28</t>
  </si>
  <si>
    <t>Sudhir Bangarambandi</t>
  </si>
  <si>
    <t>Project Evergreen : Sushila Utsav Kapadia and Utsav Rasiklal Kapadia</t>
  </si>
  <si>
    <t>2025-02-20</t>
  </si>
  <si>
    <t>: (1) Sushila Utsav Kapadia (2) Utsav Rasiklal Kapadia</t>
  </si>
  <si>
    <t>Project Evergreen : Toos Daruvala</t>
  </si>
  <si>
    <t>102218687.00 ₹</t>
  </si>
  <si>
    <t>102,218,687.00 ₹</t>
  </si>
  <si>
    <t>Mr. Toos Daruvala</t>
  </si>
  <si>
    <t>Project Evergreen : Umesh Padval</t>
  </si>
  <si>
    <t>32000.00 $</t>
  </si>
  <si>
    <t>2,659,998.40 ₹</t>
  </si>
  <si>
    <t xml:space="preserve">Umesh Padval </t>
  </si>
  <si>
    <t>Project Evergreen : Vasant Prabhu</t>
  </si>
  <si>
    <t>2023-12-16</t>
  </si>
  <si>
    <t>Vasant Prabhu</t>
  </si>
  <si>
    <t>Project Evergreen : Vinaya &amp; Samir Kapoor</t>
  </si>
  <si>
    <t>70000.00 $</t>
  </si>
  <si>
    <t>6,066,784.50 ₹</t>
  </si>
  <si>
    <t>2025-02-14</t>
  </si>
  <si>
    <t xml:space="preserve">Vinaya &amp; Samir Kapoor </t>
  </si>
  <si>
    <t>Project Evergreen :Manohar Joglekar</t>
  </si>
  <si>
    <t>886,857.50 ₹</t>
  </si>
  <si>
    <t>2025-11-14</t>
  </si>
  <si>
    <t>Manohar Joglekar</t>
  </si>
  <si>
    <t>Project Evergreen:   Kirat Patel</t>
  </si>
  <si>
    <t>Kirat Patel</t>
  </si>
  <si>
    <t>Project Evergreen:  Manish Shah</t>
  </si>
  <si>
    <t>2024-09-26</t>
  </si>
  <si>
    <t xml:space="preserve"> Manish Shah</t>
  </si>
  <si>
    <t>Project Evergreen:  Nishant Goel</t>
  </si>
  <si>
    <t>871,303.50 ₹</t>
  </si>
  <si>
    <t>2025-03-01</t>
  </si>
  <si>
    <t>Nishant Goel</t>
  </si>
  <si>
    <t>Project Evergreen:  Piyush Shah</t>
  </si>
  <si>
    <t>2024-02-17</t>
  </si>
  <si>
    <t xml:space="preserve"> Piyush Shah </t>
  </si>
  <si>
    <t>Project Evergreen:  Rashmikant Patel</t>
  </si>
  <si>
    <t>13000.00 $</t>
  </si>
  <si>
    <t>1,133,824.24 ₹</t>
  </si>
  <si>
    <t>2025-03-04</t>
  </si>
  <si>
    <t xml:space="preserve"> Rashmikant Patel</t>
  </si>
  <si>
    <t>Project Evergreen:  Ravishankar Gedela</t>
  </si>
  <si>
    <t>2024-08-25</t>
  </si>
  <si>
    <t xml:space="preserve">Ravishankar Gedela </t>
  </si>
  <si>
    <t>Project Evergreen: . Shivakumar Rajagopalan</t>
  </si>
  <si>
    <t>845,611.97 ₹</t>
  </si>
  <si>
    <t>Shivakumar Rajagopalan</t>
  </si>
  <si>
    <t>Project Evergreen: Afita Constructions Pvt. Ltd.</t>
  </si>
  <si>
    <t>2025-06-23</t>
  </si>
  <si>
    <t>Afita Constructions Pvt. Ltd.</t>
  </si>
  <si>
    <t>Project Evergreen: Ajit K. Patankar</t>
  </si>
  <si>
    <t>854,600.00 ₹</t>
  </si>
  <si>
    <t>2025-03-31</t>
  </si>
  <si>
    <t>Ajit K. Patankar</t>
  </si>
  <si>
    <t>Project Evergreen: Ajit Mayya</t>
  </si>
  <si>
    <t>27000.00 $</t>
  </si>
  <si>
    <t>2,341,170.00 ₹</t>
  </si>
  <si>
    <t>2025-02-24</t>
  </si>
  <si>
    <t>Ajit Mayya</t>
  </si>
  <si>
    <t>Project Evergreen: Anand Chandrasekhar Iyer</t>
  </si>
  <si>
    <t>8,800,185.00 ₹</t>
  </si>
  <si>
    <t>Anand Chandrasekhar Iyer</t>
  </si>
  <si>
    <t>Project Evergreen: Anil Patel</t>
  </si>
  <si>
    <t>2025-04-16</t>
  </si>
  <si>
    <t>Anil Patel</t>
  </si>
  <si>
    <t>Project Evergreen: Ashok Kulkarni</t>
  </si>
  <si>
    <t>860,271.50 ₹</t>
  </si>
  <si>
    <t>2025-04-07</t>
  </si>
  <si>
    <t>Ashok Kulkarni</t>
  </si>
  <si>
    <t>Project Evergreen: Ashwin V. Shah</t>
  </si>
  <si>
    <t>2024-08-26</t>
  </si>
  <si>
    <t>Ashwin V. Shah</t>
  </si>
  <si>
    <t>Project Evergreen: Balaji Srinivasan</t>
  </si>
  <si>
    <t>858,854.50 ₹</t>
  </si>
  <si>
    <t>2025-07-16</t>
  </si>
  <si>
    <t>Project Evergreen: Class of 1965</t>
  </si>
  <si>
    <t>5271008.00 ₹</t>
  </si>
  <si>
    <t>5,271,008.00 ₹</t>
  </si>
  <si>
    <t>2025-09-08</t>
  </si>
  <si>
    <t>Class of 1965</t>
  </si>
  <si>
    <t>Project Evergreen: Class of 1968</t>
  </si>
  <si>
    <t>2025-05-07</t>
  </si>
  <si>
    <t>Class of 1968</t>
  </si>
  <si>
    <t>Project Evergreen: Class of 1969</t>
  </si>
  <si>
    <t>2023-09-17</t>
  </si>
  <si>
    <t>Class of 1969</t>
  </si>
  <si>
    <t>Project Evergreen: Class of 1970 (Part 1)</t>
  </si>
  <si>
    <t>Project Evergreen: Class of 1971</t>
  </si>
  <si>
    <t>Class of 1971</t>
  </si>
  <si>
    <t>Project Evergreen: Class of 1974</t>
  </si>
  <si>
    <t>2025-08-05</t>
  </si>
  <si>
    <t>Class of 1974</t>
  </si>
  <si>
    <t>Project Evergreen: Class of 1975</t>
  </si>
  <si>
    <t>8300000.00 ₹</t>
  </si>
  <si>
    <t>8,300,000.00 ₹</t>
  </si>
  <si>
    <t>2025-04-08</t>
  </si>
  <si>
    <t>Class of 1975</t>
  </si>
  <si>
    <t>Project Evergreen: Class of 1981</t>
  </si>
  <si>
    <t>34100000.00 ₹</t>
  </si>
  <si>
    <t>34,100,000.00 ₹</t>
  </si>
  <si>
    <t>2025-09-22</t>
  </si>
  <si>
    <t>Class of 1981</t>
  </si>
  <si>
    <t>Project Evergreen: Class of 1991 (Addendum )</t>
  </si>
  <si>
    <t>65000000.00 ₹</t>
  </si>
  <si>
    <t>65,000,000.00 ₹</t>
  </si>
  <si>
    <t>2024-05-22</t>
  </si>
  <si>
    <t>Class of 1991</t>
  </si>
  <si>
    <t>Project Evergreen: Class of 1993 (Addendum )</t>
  </si>
  <si>
    <t>Class od 1993</t>
  </si>
  <si>
    <t>Project Evergreen: Class of 1996</t>
  </si>
  <si>
    <t>Project Evergreen: Class of 2010</t>
  </si>
  <si>
    <t>6615813.00 ₹</t>
  </si>
  <si>
    <t>6,615,813.00 ₹</t>
  </si>
  <si>
    <t>Class of 2010</t>
  </si>
  <si>
    <t>Project Evergreen: Cyrus Driver</t>
  </si>
  <si>
    <t>7000000.00 ₹</t>
  </si>
  <si>
    <t>7,000,000.00 ₹</t>
  </si>
  <si>
    <t>2025-02-28</t>
  </si>
  <si>
    <t xml:space="preserve">Cyrus Driver </t>
  </si>
  <si>
    <t>Project Evergreen: Deepak Kamath</t>
  </si>
  <si>
    <t>860,407.69 ₹</t>
  </si>
  <si>
    <t>2025-04-15</t>
  </si>
  <si>
    <t>Deepak Kamath</t>
  </si>
  <si>
    <t>Project Evergreen: Dilip Digambar Dandekar and Abhay Digambar Dandekar</t>
  </si>
  <si>
    <t>850000.00 ₹</t>
  </si>
  <si>
    <t>850,000.00 ₹</t>
  </si>
  <si>
    <t>2025-05-30</t>
  </si>
  <si>
    <t>Dilip Digambar Dandekar and  Abhay Digambar Dandekar</t>
  </si>
  <si>
    <t>Project Evergreen: Dilip Seth</t>
  </si>
  <si>
    <t>1,278,489.75 ₹</t>
  </si>
  <si>
    <t>Dilip Seth</t>
  </si>
  <si>
    <t>Project Evergreen: Elijah Aron Elias</t>
  </si>
  <si>
    <t>2025-06-27</t>
  </si>
  <si>
    <t>Elijah Aron Elias</t>
  </si>
  <si>
    <t>Project Evergreen: Gaurav Porwal Group</t>
  </si>
  <si>
    <t>Gaurav Porwal Group (6 donor)</t>
  </si>
  <si>
    <t>Project Evergreen: George Tharakan</t>
  </si>
  <si>
    <t>1,282,502.25 ₹</t>
  </si>
  <si>
    <t>George Tharakan</t>
  </si>
  <si>
    <t>Project Evergreen: Girish Altekar</t>
  </si>
  <si>
    <t>869,223.50 ₹</t>
  </si>
  <si>
    <t>2025-03-13</t>
  </si>
  <si>
    <t>Girish Altekar</t>
  </si>
  <si>
    <t>Project Evergreen: Hemant Mohapatra</t>
  </si>
  <si>
    <t xml:space="preserve"> Hemant Mohapatra</t>
  </si>
  <si>
    <t>Project Evergreen: Jayant Sabnis</t>
  </si>
  <si>
    <t>1,331,741.25 ₹</t>
  </si>
  <si>
    <t>Jayant Sabnis</t>
  </si>
  <si>
    <t>Project Evergreen: Kamlesh Khanna</t>
  </si>
  <si>
    <t>Kamlesh Khanna</t>
  </si>
  <si>
    <t>Project Evergreen: Kiran M. Rege</t>
  </si>
  <si>
    <t>1700000.00 ₹</t>
  </si>
  <si>
    <t>1,700,000.00 ₹</t>
  </si>
  <si>
    <t>2024-12-18</t>
  </si>
  <si>
    <t xml:space="preserve"> Kiran M. Rege</t>
  </si>
  <si>
    <t>Project Evergreen: Madan Avadhani</t>
  </si>
  <si>
    <t>4,400,092.50 ₹</t>
  </si>
  <si>
    <t>Project Evergreen: Madhukar Ranade</t>
  </si>
  <si>
    <t>865,293.10 ₹</t>
  </si>
  <si>
    <t>2025-03-18</t>
  </si>
  <si>
    <t xml:space="preserve">Madhukar Ranade  </t>
  </si>
  <si>
    <t>Project Evergreen: Mangesh Hirve</t>
  </si>
  <si>
    <t>6425000.00 ₹</t>
  </si>
  <si>
    <t>6,425,000.00 ₹</t>
  </si>
  <si>
    <t>Project Evergreen: Manish Chheda</t>
  </si>
  <si>
    <t>2024-12-30</t>
  </si>
  <si>
    <t>Manish Chheda</t>
  </si>
  <si>
    <t>Project Evergreen: Mathew Eipe</t>
  </si>
  <si>
    <t>2024-09-25</t>
  </si>
  <si>
    <t>Mathew Eipe</t>
  </si>
  <si>
    <t>Project Evergreen: Mohan Kavrie</t>
  </si>
  <si>
    <t>Project Evergreen: Mr.  Nadir Bujor Godrej</t>
  </si>
  <si>
    <t>2025-06-19</t>
  </si>
  <si>
    <t>Mr. Nadir Bujor Godrej</t>
  </si>
  <si>
    <t>Project Evergreen: Mr. Ashok Kumar Sobhagmal Patni</t>
  </si>
  <si>
    <t>2025-09-11</t>
  </si>
  <si>
    <t>Mr. Ashok Kumar Sobhagmal Patni</t>
  </si>
  <si>
    <t>Project Evergreen: Mr. Lakshminarayan Viswanathan</t>
  </si>
  <si>
    <t>1,317,152.25 ₹</t>
  </si>
  <si>
    <t>2025-10-15</t>
  </si>
  <si>
    <t>Mr. Lakshminarayan Viswanathan</t>
  </si>
  <si>
    <t>Project Evergreen: Mukesh Mayekar</t>
  </si>
  <si>
    <t>26491.00 $</t>
  </si>
  <si>
    <t>2,267,629.60 ₹</t>
  </si>
  <si>
    <t>Mukesh Mayekar</t>
  </si>
  <si>
    <t>Project Evergreen: Mukundan Srinivasan</t>
  </si>
  <si>
    <t>Mukundan Srinivasan</t>
  </si>
  <si>
    <t>Project Evergreen: Nitin Padmakar Sahani</t>
  </si>
  <si>
    <t>Nitin Padmakar Sahani</t>
  </si>
  <si>
    <t>Project Evergreen: Paritosh Choksi</t>
  </si>
  <si>
    <t>17,186,593.80 ₹</t>
  </si>
  <si>
    <t>Paritosh Choksi</t>
  </si>
  <si>
    <t>Project Evergreen: Partha Sarathi Sharma (through : Prism Charitable Trust)</t>
  </si>
  <si>
    <t>Prism Charitable Trust</t>
  </si>
  <si>
    <t>Project Evergreen: Pradeep Amladi</t>
  </si>
  <si>
    <t>1,290,611.54 ₹</t>
  </si>
  <si>
    <t>Pradeep Amladi</t>
  </si>
  <si>
    <t>Project Evergreen: Pramod Gajakosh</t>
  </si>
  <si>
    <t>Pramod Gajakosh</t>
  </si>
  <si>
    <t xml:space="preserve">Project Evergreen: Pramod Gopaldas Gujrathi </t>
  </si>
  <si>
    <t>701000.00 ₹</t>
  </si>
  <si>
    <t>701,000.00 ₹</t>
  </si>
  <si>
    <t>2025-06-12</t>
  </si>
  <si>
    <t xml:space="preserve">Pramod Gopaldas Gujrathi </t>
  </si>
  <si>
    <t>Project Evergreen: Prasad Bhalchandra Kale</t>
  </si>
  <si>
    <t>2025-04-09</t>
  </si>
  <si>
    <t>Prasad Bhalchandra Kale</t>
  </si>
  <si>
    <t>Project Evergreen: Pratap Chavan</t>
  </si>
  <si>
    <t>2025-05-21</t>
  </si>
  <si>
    <t>Pratap Chavan</t>
  </si>
  <si>
    <t>Project Evergreen: Radhika Rajan</t>
  </si>
  <si>
    <t>Radhika Rajan</t>
  </si>
  <si>
    <t>Project Evergreen: Raghunath Iyer</t>
  </si>
  <si>
    <t>2025-02-16</t>
  </si>
  <si>
    <t>Raghunath Iyer</t>
  </si>
  <si>
    <t>Project Evergreen: Rajendra J Shah</t>
  </si>
  <si>
    <t>40000.00 $</t>
  </si>
  <si>
    <t>3,278,000.00 ₹</t>
  </si>
  <si>
    <t>2023-07-04</t>
  </si>
  <si>
    <t>Rajendra J Shah</t>
  </si>
  <si>
    <t>Project Evergreen: Rajesh Mashruwala</t>
  </si>
  <si>
    <t>2025-11-04</t>
  </si>
  <si>
    <t>Rajesh Mashruwala</t>
  </si>
  <si>
    <t>Project Evergreen: Ramakant Guruprasad Kulkarni</t>
  </si>
  <si>
    <t>Ramakant Guruprasad Kulkarni</t>
  </si>
  <si>
    <t>Project Evergreen: Ramkrishna Bhagwat</t>
  </si>
  <si>
    <t>Ramkrishna Bhagwat</t>
  </si>
  <si>
    <t>Project Evergreen: RBA Exports Private Limited (Navneet Kumar)</t>
  </si>
  <si>
    <t>RBA Exports Private Limited (Navneet Kumar)</t>
  </si>
  <si>
    <t>Project Evergreen: Renil Gogri</t>
  </si>
  <si>
    <t>2025-09-29</t>
  </si>
  <si>
    <t>Renil Gogri</t>
  </si>
  <si>
    <t>Project Evergreen: S H Kelkar and Company Limited (Kedar Vaze)</t>
  </si>
  <si>
    <t>2025-08-04</t>
  </si>
  <si>
    <t>Alumni Corporate CSR</t>
  </si>
  <si>
    <t>S H Kelkar and Company Limited (Kedar Vaze)</t>
  </si>
  <si>
    <t>Project Evergreen: Sameer Sharad Katdare</t>
  </si>
  <si>
    <t>Sameer Sharad Katdare</t>
  </si>
  <si>
    <t>Project Evergreen: Sandesh Joshi</t>
  </si>
  <si>
    <t>8,721,724.90 ₹</t>
  </si>
  <si>
    <t>Sandesh Joshi</t>
  </si>
  <si>
    <t>Project Evergreen: Saumil Advait Majmudar</t>
  </si>
  <si>
    <t>1002202.00 ₹</t>
  </si>
  <si>
    <t>1,002,202.00 ₹</t>
  </si>
  <si>
    <t>Saumil Advait Majmudar</t>
  </si>
  <si>
    <t>Project Evergreen: SAVEX TECHNOLOGIES PRIVATE LIMITED</t>
  </si>
  <si>
    <t>SAVEX TECHNOLOGIES PRIVATE LIMITED</t>
  </si>
  <si>
    <t>Project Evergreen: Shailender Bhakthavathsalan Timiri</t>
  </si>
  <si>
    <t>8,304,335.00 ₹</t>
  </si>
  <si>
    <t>2024-02-14</t>
  </si>
  <si>
    <t xml:space="preserve">Shailender Bhakthavathsalan Timiri </t>
  </si>
  <si>
    <t>Project Evergreen: Shrikrishna Patwardhan</t>
  </si>
  <si>
    <t>2025-05-26</t>
  </si>
  <si>
    <t>Shrikrishna Patwardhan</t>
  </si>
  <si>
    <t>Project Evergreen: Sumedh Barde</t>
  </si>
  <si>
    <t>Project Evergreen: Sunil Shenoy</t>
  </si>
  <si>
    <t>1,329,592.56 ₹</t>
  </si>
  <si>
    <t>2025-11-07</t>
  </si>
  <si>
    <t>Sunil Shenoy</t>
  </si>
  <si>
    <t>Project Evergreen: Yogen Dalal</t>
  </si>
  <si>
    <t>867,372.97 ₹</t>
  </si>
  <si>
    <t>Yogen Dalal</t>
  </si>
  <si>
    <t>Project Evergreen: Yogesh Joshi</t>
  </si>
  <si>
    <t>10001.00 $</t>
  </si>
  <si>
    <t>854,685.46 ₹</t>
  </si>
  <si>
    <t>Yogesh Joshi</t>
  </si>
  <si>
    <t>Project Prosper -Swayam Shikshan Prayog</t>
  </si>
  <si>
    <t>2024-10-25</t>
  </si>
  <si>
    <t>Swayam Shikshan Prayog</t>
  </si>
  <si>
    <t>Prolific Chemicals PRAYOG CTARA</t>
  </si>
  <si>
    <t>1018093.00 ₹</t>
  </si>
  <si>
    <t>1,018,093.00 ₹</t>
  </si>
  <si>
    <t>2022-09-30</t>
  </si>
  <si>
    <t>Prolific Chemicals Pvt Ltd</t>
  </si>
  <si>
    <t>PROMOTE EDUCATION/ACADEMIC PURSUIT &amp; SCIENTIFIC RESEARCH</t>
  </si>
  <si>
    <t>6200000.00 ₹</t>
  </si>
  <si>
    <t>6,200,000.00 ₹</t>
  </si>
  <si>
    <t>2018-11-06</t>
  </si>
  <si>
    <t>Mangalam Organics Ltd</t>
  </si>
  <si>
    <t>R&amp;D project sponsored by Grauer &amp; Weil (India) Limited/Growel India</t>
  </si>
  <si>
    <t>2024-06-03</t>
  </si>
  <si>
    <t>M/s Grauer &amp; Weil (India) Limited/Growel India</t>
  </si>
  <si>
    <t>Rajesh Jain-To Drive Entrepreneurship@Scale at IIT Bombay</t>
  </si>
  <si>
    <t>45000000.00 ₹</t>
  </si>
  <si>
    <t>45,000,000.00 ₹</t>
  </si>
  <si>
    <t>Rajesh Jain</t>
  </si>
  <si>
    <t>Rakesh Mathur Awards</t>
  </si>
  <si>
    <t>386000.00 $</t>
  </si>
  <si>
    <t>28,920,200.80 ₹</t>
  </si>
  <si>
    <t>2021-04-16</t>
  </si>
  <si>
    <t>Rakesh Mathur</t>
  </si>
  <si>
    <t>Rakesh Mathur Excellence Award</t>
  </si>
  <si>
    <t>41000.00 $</t>
  </si>
  <si>
    <t>1,917,980.00 ₹</t>
  </si>
  <si>
    <t>2003-06-07</t>
  </si>
  <si>
    <t>Rasiklal Hemani Chair Professorship</t>
  </si>
  <si>
    <t>2019-01-01</t>
  </si>
  <si>
    <t>Rasiklal Hemani</t>
  </si>
  <si>
    <t>Ratna Tambraparni MCM Scholarship</t>
  </si>
  <si>
    <t>2021-08-10</t>
  </si>
  <si>
    <t>Shridhar Tambraparni</t>
  </si>
  <si>
    <t>RAVISH TEWARI SCHOLARSHIP FOR EXCELLENCE</t>
  </si>
  <si>
    <t>5772000.00 ₹</t>
  </si>
  <si>
    <t>5,772,000.00 ₹</t>
  </si>
  <si>
    <t>CLASS OF 2004</t>
  </si>
  <si>
    <t>Reconnect Energy Foundation - AI applications in smart energy management</t>
  </si>
  <si>
    <t>REConnect Energy Foundation</t>
  </si>
  <si>
    <t>RenewSys - Drone Research Program</t>
  </si>
  <si>
    <t>RenewSys India Private Limited</t>
  </si>
  <si>
    <t>Renuka Mathur Scholarship</t>
  </si>
  <si>
    <t>Research HUB for Green Energy and Sustainability</t>
  </si>
  <si>
    <t>18600000.00 $</t>
  </si>
  <si>
    <t>1,529,544,030.00 ₹</t>
  </si>
  <si>
    <t>Janki Foundation (Mahesh Navani)</t>
  </si>
  <si>
    <t>Rex-Tone Industries R&amp;D</t>
  </si>
  <si>
    <t>2024-02-12</t>
  </si>
  <si>
    <t>Rex-Tone Industries Limited</t>
  </si>
  <si>
    <t>Roadstar R&amp;D</t>
  </si>
  <si>
    <t>28545000.00 ₹</t>
  </si>
  <si>
    <t>28,545,000.00 ₹</t>
  </si>
  <si>
    <t>2023-03-27</t>
  </si>
  <si>
    <t>Roadstar Investment Managers Limited</t>
  </si>
  <si>
    <t>Round Memorial Scholarship</t>
  </si>
  <si>
    <t>1669000.00 ₹</t>
  </si>
  <si>
    <t>1,669,000.00 ₹</t>
  </si>
  <si>
    <t>2018-05-06</t>
  </si>
  <si>
    <t>RXO - Scholarship</t>
  </si>
  <si>
    <t>RXO</t>
  </si>
  <si>
    <t>S L Mehndiratta - Faculty Award - Well Wisher</t>
  </si>
  <si>
    <t xml:space="preserve">Prof. S L Mehndiratta </t>
  </si>
  <si>
    <t>S L Mehndiratta - Faculty Award - Well Wisher - Addendum</t>
  </si>
  <si>
    <t>S L Mehndiratta</t>
  </si>
  <si>
    <t>S.M.  Shah Scholarship</t>
  </si>
  <si>
    <t>2020-10-02</t>
  </si>
  <si>
    <t>S.M. SHAH TRUST</t>
  </si>
  <si>
    <t>Sajjan India_C02 Conversion</t>
  </si>
  <si>
    <t>4095000.00 ₹</t>
  </si>
  <si>
    <t>4,095,000.00 ₹</t>
  </si>
  <si>
    <t>2023-12-01</t>
  </si>
  <si>
    <t xml:space="preserve">Sajjan </t>
  </si>
  <si>
    <t>Sajjan India_Co2 Conversion Year 2</t>
  </si>
  <si>
    <t>330000.00 ₹</t>
  </si>
  <si>
    <t>330,000.00 ₹</t>
  </si>
  <si>
    <t>Sajjan India Ltd</t>
  </si>
  <si>
    <t>Sajjan India_Feedstock material</t>
  </si>
  <si>
    <t>5905500.00 ₹</t>
  </si>
  <si>
    <t>5,905,500.00 ₹</t>
  </si>
  <si>
    <t>Sajjan India_Feedstock material Year 2</t>
  </si>
  <si>
    <t>2570000.00 ₹</t>
  </si>
  <si>
    <t>2,570,000.00 ₹</t>
  </si>
  <si>
    <t xml:space="preserve">SAP Labs-Entreprenurship </t>
  </si>
  <si>
    <t>6300000.00 ₹</t>
  </si>
  <si>
    <t>6,300,000.00 ₹</t>
  </si>
  <si>
    <t>2016-03-23</t>
  </si>
  <si>
    <t>SAP Labs</t>
  </si>
  <si>
    <t>Savita and Ravi Naware Scholarship</t>
  </si>
  <si>
    <t>5786000.00 ₹</t>
  </si>
  <si>
    <t>5,786,000.00 ₹</t>
  </si>
  <si>
    <t>Ravindra Naware</t>
  </si>
  <si>
    <t>SBI Foundation- Hub for Data &amp; Analytics</t>
  </si>
  <si>
    <t>225000000.00 ₹</t>
  </si>
  <si>
    <t>225,000,000.00 ₹</t>
  </si>
  <si>
    <t>2023-05-12</t>
  </si>
  <si>
    <t>SBI Foundation</t>
  </si>
  <si>
    <t>Schindler Fellowship Award</t>
  </si>
  <si>
    <t>2019-08-28</t>
  </si>
  <si>
    <t>Schindler</t>
  </si>
  <si>
    <t>Schlumberger R&amp;D</t>
  </si>
  <si>
    <t>4070000.00 ₹</t>
  </si>
  <si>
    <t>4,070,000.00 ₹</t>
  </si>
  <si>
    <t>Schlumberger Solutions Pvt Ltd</t>
  </si>
  <si>
    <t xml:space="preserve">Scholarship - Chetna Praful Dand, Ami P Dand, Tulsi and Brandon Martin </t>
  </si>
  <si>
    <t>76000.00 $</t>
  </si>
  <si>
    <t>6,674,323.80 ₹</t>
  </si>
  <si>
    <t>2025-10-25</t>
  </si>
  <si>
    <t>Chetna Praful Dand</t>
  </si>
  <si>
    <t>Scholarship - Praful Vishanji Dand, Akash, Saira, Priya and Yashan Praful Dand</t>
  </si>
  <si>
    <t>Praful Vishanji Dand</t>
  </si>
  <si>
    <t>Scholarship from Batch of 1992</t>
  </si>
  <si>
    <t>2018-08-07</t>
  </si>
  <si>
    <t>Batch of 1992</t>
  </si>
  <si>
    <t>Secretariat for Societal Solutions - PRAYOG</t>
  </si>
  <si>
    <t>10800000.00 ₹</t>
  </si>
  <si>
    <t>10,800,000.00 ₹</t>
  </si>
  <si>
    <t>2021-03-19</t>
  </si>
  <si>
    <t>Bimalkumar Ranjit Naik</t>
  </si>
  <si>
    <t>SeDriCa team under UMIC</t>
  </si>
  <si>
    <t>10,865,293.75 ₹</t>
  </si>
  <si>
    <t>Raj Mashruwala</t>
  </si>
  <si>
    <t>SemiX Research &amp; Academic projects</t>
  </si>
  <si>
    <t>84,396,050.00 ₹</t>
  </si>
  <si>
    <t>Sh Lalit Keshre - Student Racing Team + Research for EV Lab</t>
  </si>
  <si>
    <t>2024-10-14</t>
  </si>
  <si>
    <t>Sh. Lalit Keshre</t>
  </si>
  <si>
    <t>Shankar Krishnamoorthy Award and Fellowship</t>
  </si>
  <si>
    <t>230000.00 $</t>
  </si>
  <si>
    <t>19,636,825.00 ₹</t>
  </si>
  <si>
    <t>2025-04-20</t>
  </si>
  <si>
    <t>Shankar Krishnamoorthy</t>
  </si>
  <si>
    <t>Shapoorji Pallonji rising star tecnical excellence</t>
  </si>
  <si>
    <t>2015-06-17</t>
  </si>
  <si>
    <t>Shapoorji Pallonji</t>
  </si>
  <si>
    <t>Shariq Rizvi-HF-CMInDS</t>
  </si>
  <si>
    <t>19,989,826.00 ₹</t>
  </si>
  <si>
    <t>Shariq Rizvi</t>
  </si>
  <si>
    <t>Shashwat Panda Memorial Lecture by Pureheart Capital</t>
  </si>
  <si>
    <t>2019-01-21</t>
  </si>
  <si>
    <t>Satwik Panda and Pureheart Capital</t>
  </si>
  <si>
    <t>Shiv Enterprises - Team Shunya</t>
  </si>
  <si>
    <t>Shiv Enterprises</t>
  </si>
  <si>
    <t>Shobha Dixit Chair Professor</t>
  </si>
  <si>
    <t>2021-03-23</t>
  </si>
  <si>
    <t>Mr. Amit Dixit</t>
  </si>
  <si>
    <t>Shri Anil Kushalchand Hirani Award</t>
  </si>
  <si>
    <t>5800000.00 ₹</t>
  </si>
  <si>
    <t>5,800,000.00 ₹</t>
  </si>
  <si>
    <t>2022-08-29</t>
  </si>
  <si>
    <t>SKFF India Pvt. Ltd.</t>
  </si>
  <si>
    <t>Shri Nathwa Prasad Fellowship</t>
  </si>
  <si>
    <t>Prof. Shiva Prasad</t>
  </si>
  <si>
    <t>Shri R Vembu Iyer memorial prize</t>
  </si>
  <si>
    <t>30000.00 ₹</t>
  </si>
  <si>
    <t>30,000.00 ₹</t>
  </si>
  <si>
    <t>2002-08-16</t>
  </si>
  <si>
    <t>Prof. V. Panchapakesan</t>
  </si>
  <si>
    <t>Shri Ram Kumar Gupta Merit Award</t>
  </si>
  <si>
    <t>2018-03-28</t>
  </si>
  <si>
    <t>Sushil Kumar</t>
  </si>
  <si>
    <t>SHRIMATI PRAKASHVATI DEVI GUPTA MERIT AWARD</t>
  </si>
  <si>
    <t>Signify Innovations - Team SHUNYA</t>
  </si>
  <si>
    <t>169992.00 ₹</t>
  </si>
  <si>
    <t>169,992.00 ₹</t>
  </si>
  <si>
    <t>2023-03-21</t>
  </si>
  <si>
    <t>Signify Innovations India Ltd.</t>
  </si>
  <si>
    <t>SILICON VALLEY COMMUNITY FOUNDATION R &amp; D</t>
  </si>
  <si>
    <t>1750000.00 $</t>
  </si>
  <si>
    <t>127,976,621.50 ₹</t>
  </si>
  <si>
    <t>2018-09-18</t>
  </si>
  <si>
    <t>SILICON VALLEY COMMUNITY FOUNDATION</t>
  </si>
  <si>
    <t>SKFF</t>
  </si>
  <si>
    <t>3650000.00 ₹</t>
  </si>
  <si>
    <t>3,650,000.00 ₹</t>
  </si>
  <si>
    <t>SKFF INDIA PVT LTD</t>
  </si>
  <si>
    <t>Skillnet CSR</t>
  </si>
  <si>
    <t>352000.00 ₹</t>
  </si>
  <si>
    <t>352,000.00 ₹</t>
  </si>
  <si>
    <t>Skillnet Solutions India Pvt Ltd.</t>
  </si>
  <si>
    <t>Smt. Jayalakshmi &amp; Sri R.Narasimhan Award and Smt. Andal &amp; Sri N.P.Narayanan Award</t>
  </si>
  <si>
    <t>Prof. N. Raghavan</t>
  </si>
  <si>
    <t>Smt. Vidya Sharma - Chair Professorship in  Electrical  Engineering ( Jitendra Mohan &amp; Swapna Samant )</t>
  </si>
  <si>
    <t>25,318,815.00 ₹</t>
  </si>
  <si>
    <t xml:space="preserve">Jitendra Mohan &amp; Swapna Samant </t>
  </si>
  <si>
    <t>Smt. Vulavala Mangatayaru Memorial Award</t>
  </si>
  <si>
    <t>2023-03-06</t>
  </si>
  <si>
    <t>Prof. Ramesh Vulavala</t>
  </si>
  <si>
    <t>Softech Care Foundation - Team SHUNYA</t>
  </si>
  <si>
    <t>SofTech Care Foundation</t>
  </si>
  <si>
    <t>SPECTURM TECHNO- EERI</t>
  </si>
  <si>
    <t>59000.00 ₹</t>
  </si>
  <si>
    <t>59,000.00 ₹</t>
  </si>
  <si>
    <t>2023-05-16</t>
  </si>
  <si>
    <t xml:space="preserve">SPECTRUM Techno Consultants Pvt. Ltd. </t>
  </si>
  <si>
    <t>Spoken Tutorials Project-CSR FUND</t>
  </si>
  <si>
    <t>2021-11-16</t>
  </si>
  <si>
    <t>eMudra Ltd</t>
  </si>
  <si>
    <t>Squarepoint Foundation - Scholarship</t>
  </si>
  <si>
    <t>42000.00 $</t>
  </si>
  <si>
    <t>3,511,152.12 ₹</t>
  </si>
  <si>
    <t>2024-09-24</t>
  </si>
  <si>
    <t>Squarepoint Foundation, UK</t>
  </si>
  <si>
    <t>Stem Water - R &amp; D</t>
  </si>
  <si>
    <t>7059180.00 ₹</t>
  </si>
  <si>
    <t>7,059,180.00 ₹</t>
  </si>
  <si>
    <t>2022-09-26</t>
  </si>
  <si>
    <t>Stem Water Distribution &amp; Infrastructure Co Pvt Ltd</t>
  </si>
  <si>
    <t>STEM Water R&amp;D 2023</t>
  </si>
  <si>
    <t>9212440.00 ₹</t>
  </si>
  <si>
    <t>9,212,440.00 ₹</t>
  </si>
  <si>
    <t>2023-07-03</t>
  </si>
  <si>
    <t>STEM Water Distribution &amp; Infrastructure</t>
  </si>
  <si>
    <t>STEM Water R&amp;D 2024-25</t>
  </si>
  <si>
    <t>8441390.00 ₹</t>
  </si>
  <si>
    <t>8,441,390.00 ₹</t>
  </si>
  <si>
    <t>2024-09-02</t>
  </si>
  <si>
    <t>Stem</t>
  </si>
  <si>
    <t>Subrao M. Nilekani Chair Professorship</t>
  </si>
  <si>
    <t>1999-02-04</t>
  </si>
  <si>
    <t>Nandan Nilekani</t>
  </si>
  <si>
    <t>SUEZ Water (M. Tech) Fellowship</t>
  </si>
  <si>
    <t>SUEZ Water</t>
  </si>
  <si>
    <t>Sumati and Atmaram Kotwal Sanskrit Acharya Chair</t>
  </si>
  <si>
    <t>12,802,949.00 ₹</t>
  </si>
  <si>
    <t>2021-11-03</t>
  </si>
  <si>
    <t>Deepak Kotwal</t>
  </si>
  <si>
    <t>Sumeet Nagar Makerspace</t>
  </si>
  <si>
    <t>2021-03-30</t>
  </si>
  <si>
    <t>Sumeet Nagar</t>
  </si>
  <si>
    <t>Sunita Sanghi Centre for Aging and Neuro degenerative Diseases (SCAN)</t>
  </si>
  <si>
    <t>2022-02-18</t>
  </si>
  <si>
    <t>Sharad Sanghi</t>
  </si>
  <si>
    <t>210000.00 $</t>
  </si>
  <si>
    <t>17,656,684.50 ₹</t>
  </si>
  <si>
    <t>Dr Surendra Gupta</t>
  </si>
  <si>
    <t>SURIE POLEX</t>
  </si>
  <si>
    <t>2023-12-27</t>
  </si>
  <si>
    <t>AALOKE SURIE</t>
  </si>
  <si>
    <t>SYNOPSUS</t>
  </si>
  <si>
    <t>390000.00 $</t>
  </si>
  <si>
    <t>32,447,902.50 ₹</t>
  </si>
  <si>
    <t>2023-10-16</t>
  </si>
  <si>
    <t>Syrma R&amp;D</t>
  </si>
  <si>
    <t>2022-12-22</t>
  </si>
  <si>
    <t>Syrma SGS Technology Ltd.</t>
  </si>
  <si>
    <t>Syrma R&amp;D (2023)</t>
  </si>
  <si>
    <t>2023-10-31</t>
  </si>
  <si>
    <t>0.95</t>
  </si>
  <si>
    <t xml:space="preserve">Syrma </t>
  </si>
  <si>
    <t>TATA  Centre for Technology and Design</t>
  </si>
  <si>
    <t>942000000.00 ₹</t>
  </si>
  <si>
    <t>942,000,000.00 ₹</t>
  </si>
  <si>
    <t>2014-03-21</t>
  </si>
  <si>
    <t>2014-04-01</t>
  </si>
  <si>
    <t>TATA Trusts</t>
  </si>
  <si>
    <t>Tata Centre Chair Professorship for Frugal Engineering</t>
  </si>
  <si>
    <t>Tata Trust</t>
  </si>
  <si>
    <t>Tata Consulting Emgineers R&amp;D</t>
  </si>
  <si>
    <t>2023-03-09</t>
  </si>
  <si>
    <t>0.2</t>
  </si>
  <si>
    <t>Tata Consultancy Engineers Ltd</t>
  </si>
  <si>
    <t>Tata Consulting Engineers - R &amp; D Amendment</t>
  </si>
  <si>
    <t>2022-07-01</t>
  </si>
  <si>
    <t>6800000.00 ₹</t>
  </si>
  <si>
    <t>6,800,000.00 ₹</t>
  </si>
  <si>
    <t>2021-02-04</t>
  </si>
  <si>
    <t>Tata Power_CO2 Sequestration and Valorization</t>
  </si>
  <si>
    <t>2024-03-31</t>
  </si>
  <si>
    <t>Tata Power Community Development Trust</t>
  </si>
  <si>
    <t>2021-02-08</t>
  </si>
  <si>
    <t>Sharad and Sudarshan Saraf</t>
  </si>
  <si>
    <t>TCE R&amp;D Third Amendment</t>
  </si>
  <si>
    <t>TCE_Sixth Amendment Agreement</t>
  </si>
  <si>
    <t>28300000.00 ₹</t>
  </si>
  <si>
    <t>28,300,000.00 ₹</t>
  </si>
  <si>
    <t>2025-05-19</t>
  </si>
  <si>
    <t>2025-06-01</t>
  </si>
  <si>
    <t>TCS Foundation_ Research Scholar Program</t>
  </si>
  <si>
    <t>2023-12-18</t>
  </si>
  <si>
    <t>TCS Foundation</t>
  </si>
  <si>
    <t>Technology Innovation Program</t>
  </si>
  <si>
    <t>Tecnimont 2023-24</t>
  </si>
  <si>
    <t>6071831.00 ₹</t>
  </si>
  <si>
    <t>6,071,831.00 ₹</t>
  </si>
  <si>
    <t>Tecnimont Private Limited</t>
  </si>
  <si>
    <t>Tecnimont Scholarships &amp; Fellowships</t>
  </si>
  <si>
    <t>Tecnimont India Pvt. Ltd.</t>
  </si>
  <si>
    <t>Teritex SINE</t>
  </si>
  <si>
    <t>2019-12-06</t>
  </si>
  <si>
    <t>Teritex Knitting Industries Private Limited</t>
  </si>
  <si>
    <t>Test</t>
  </si>
  <si>
    <t>Thakur Family Chair</t>
  </si>
  <si>
    <t>14,255,162.20 ₹</t>
  </si>
  <si>
    <t>Dr. Shashidhar Thakur and Mrs. Smita Thakur</t>
  </si>
  <si>
    <t>The Chellaram Sanskrit Scholarship</t>
  </si>
  <si>
    <t>1200000.00 ₹</t>
  </si>
  <si>
    <t>1,200,000.00 ₹</t>
  </si>
  <si>
    <t>2025-01-24</t>
  </si>
  <si>
    <t>Kishinchand Chellaram Educational Trust</t>
  </si>
  <si>
    <t>The Chemours Scholarship and Award</t>
  </si>
  <si>
    <t>0.67</t>
  </si>
  <si>
    <t>The Dr Niren Laxmichand Nagda Award</t>
  </si>
  <si>
    <t>Mrs Jaya Nagda</t>
  </si>
  <si>
    <t>The kelkar Family Chair for Quantitative Finance</t>
  </si>
  <si>
    <t>13,030,539.40 ₹</t>
  </si>
  <si>
    <t>2021-12-20</t>
  </si>
  <si>
    <t>Ram Kelkar</t>
  </si>
  <si>
    <t>The Neel and Raa Foundations fund for Higher Education &amp; Research</t>
  </si>
  <si>
    <t>2023-12-08</t>
  </si>
  <si>
    <t>Shreya Shetty</t>
  </si>
  <si>
    <t>Neel and Raa Foundation</t>
  </si>
  <si>
    <t>The Prasad and Girija Scholarship</t>
  </si>
  <si>
    <t>Lalitesh and Srini Katragadda</t>
  </si>
  <si>
    <t>Tinkerer lab in Chemical Deptt</t>
  </si>
  <si>
    <t>Alkyl Amines Chemicals Limited</t>
  </si>
  <si>
    <t>TIS-Internship and Mentoring High School Students</t>
  </si>
  <si>
    <t>Top-up: Pramod and Parimal Chaudhari Chair</t>
  </si>
  <si>
    <t>8390000.00 ₹</t>
  </si>
  <si>
    <t>8,390,000.00 ₹</t>
  </si>
  <si>
    <t>Pramod Chaudhary</t>
  </si>
  <si>
    <t>Tower Research - Intelligence Over Structured and Dynamic Data</t>
  </si>
  <si>
    <t>2025-12-03</t>
  </si>
  <si>
    <t>Tower Research Capital Markets India Private Limited</t>
  </si>
  <si>
    <t>Tower Research Bodhi LLM</t>
  </si>
  <si>
    <t>14850000.00 ₹</t>
  </si>
  <si>
    <t>14,850,000.00 ₹</t>
  </si>
  <si>
    <t>2025-09-04</t>
  </si>
  <si>
    <t>Tower Research Capital - R&amp;D</t>
  </si>
  <si>
    <t>44496800.00 ₹</t>
  </si>
  <si>
    <t>44,496,800.00 ₹</t>
  </si>
  <si>
    <t>2023-07-18</t>
  </si>
  <si>
    <t xml:space="preserve">Tower Research Capital Markets India Private Limites </t>
  </si>
  <si>
    <t>Tower Research Scholarship Test</t>
  </si>
  <si>
    <t>2023-02-09</t>
  </si>
  <si>
    <t>Tower Research Capital</t>
  </si>
  <si>
    <t>Treatment Planning for Breast and Head and Neck Cancers_PRAZIM</t>
  </si>
  <si>
    <t>Prazim Trading and Investment Company</t>
  </si>
  <si>
    <t>Trust Lab_Celebal Technologies</t>
  </si>
  <si>
    <t>Celebal Technologies</t>
  </si>
  <si>
    <t>Trustlab-Uptycs</t>
  </si>
  <si>
    <t>1915100.00 ₹</t>
  </si>
  <si>
    <t>1,915,100.00 ₹</t>
  </si>
  <si>
    <t>Uptycs India Private Limited</t>
  </si>
  <si>
    <t>Uma Parasuraman Chair Faculty</t>
  </si>
  <si>
    <t>174000.00 $</t>
  </si>
  <si>
    <t>15,454,044.90 ₹</t>
  </si>
  <si>
    <t>2025-11-13</t>
  </si>
  <si>
    <t>2025-12-01</t>
  </si>
  <si>
    <t>MS. Sunita Parasuraman</t>
  </si>
  <si>
    <t>Unmesh Mashruwala Innovation Cell</t>
  </si>
  <si>
    <t>30000.00 $</t>
  </si>
  <si>
    <t>2,206,741.50 ₹</t>
  </si>
  <si>
    <t>Rajesh MAshruwala</t>
  </si>
  <si>
    <t>Use of Fly Ash and CO2 for Sustainable and Resilient Concrete Pavements ( year 1)</t>
  </si>
  <si>
    <t>4950000.00 ₹</t>
  </si>
  <si>
    <t>4,950,000.00 ₹</t>
  </si>
  <si>
    <t>Vector Informatik India Pvt. Ltd</t>
  </si>
  <si>
    <t>1020110.00 ₹</t>
  </si>
  <si>
    <t>1,020,110.00 ₹</t>
  </si>
  <si>
    <t>Verifone Chair Professorship</t>
  </si>
  <si>
    <t>3550000.00 ₹</t>
  </si>
  <si>
    <t>3,550,000.00 ₹</t>
  </si>
  <si>
    <t xml:space="preserve">Verifone India Pvt Ltd </t>
  </si>
  <si>
    <t>Vertiv - R&amp;D</t>
  </si>
  <si>
    <t>6246240.00 ₹</t>
  </si>
  <si>
    <t>6,246,240.00 ₹</t>
  </si>
  <si>
    <t>Vertiv Energy Pvt Ltd.</t>
  </si>
  <si>
    <t>Vertiv Energy Pvt Ltd_Heat Pump Lab &amp; AI 2025</t>
  </si>
  <si>
    <t>Vertiv Energy Private Limited</t>
  </si>
  <si>
    <t xml:space="preserve">Vertiv Energy_Lime Mortar and Plaster Technique </t>
  </si>
  <si>
    <t>6047800.00 ₹</t>
  </si>
  <si>
    <t>6,047,800.00 ₹</t>
  </si>
  <si>
    <t>Vertiv Energy Pvt. Ltd</t>
  </si>
  <si>
    <t>Vidya Kale Memorial Scholarship</t>
  </si>
  <si>
    <t>Prasad Kale</t>
  </si>
  <si>
    <t>Vijay and Sita Vashee Chair</t>
  </si>
  <si>
    <t>360000.00 $</t>
  </si>
  <si>
    <t>17,128,404.36 ₹</t>
  </si>
  <si>
    <t>2001-06-08</t>
  </si>
  <si>
    <t>Vijay Vashee</t>
  </si>
  <si>
    <t>Vijay and Sita Vashee Chair in Climate and Sustainability</t>
  </si>
  <si>
    <t>16,775,150.00 ₹</t>
  </si>
  <si>
    <t>2024-08-16</t>
  </si>
  <si>
    <t>Vilas Karnik Funds</t>
  </si>
  <si>
    <t>1900000.00 ₹</t>
  </si>
  <si>
    <t>1,900,000.00 ₹</t>
  </si>
  <si>
    <t>Legacy of 69</t>
  </si>
  <si>
    <t>Vinaya and Samir Kapoor Chair Faculty for  Artificial Intelligence (AI) in Climate and Sustainability Studies</t>
  </si>
  <si>
    <t>15,396,816.30 ₹</t>
  </si>
  <si>
    <t>2025-11-19</t>
  </si>
  <si>
    <t xml:space="preserve">Vinaya and Samir Kapoor </t>
  </si>
  <si>
    <t>Vinaya and Samir Kapoor Chair in Climate Studies</t>
  </si>
  <si>
    <t>Vinaya and Samir Kapoor</t>
  </si>
  <si>
    <t>Vinaya and Samir Kapoor- SPURS</t>
  </si>
  <si>
    <t>8,358,785.00 ₹</t>
  </si>
  <si>
    <t>2024-07-15</t>
  </si>
  <si>
    <t>Vinaya and Samir Kapoor-</t>
  </si>
  <si>
    <t>Vissco Rehabilitation R&amp;D</t>
  </si>
  <si>
    <t>2021-09-28</t>
  </si>
  <si>
    <t>Vissco Rehabilitation Aids Pvt Ltd</t>
  </si>
  <si>
    <t>Waaree Energies Ltd</t>
  </si>
  <si>
    <t>19910000.00 ₹</t>
  </si>
  <si>
    <t>19,910,000.00 ₹</t>
  </si>
  <si>
    <t>2024-12-12</t>
  </si>
  <si>
    <t>Wacker Metroark Chemical Pvt Ltd  - R &amp; D  Project</t>
  </si>
  <si>
    <t>15620000.00 ₹</t>
  </si>
  <si>
    <t>15,620,000.00 ₹</t>
  </si>
  <si>
    <t>2019-07-01</t>
  </si>
  <si>
    <t xml:space="preserve">Wacker Metroark Chemical Pvt Ltd </t>
  </si>
  <si>
    <t>Wacker R &amp; D</t>
  </si>
  <si>
    <t>6483400.00 ₹</t>
  </si>
  <si>
    <t>6,483,400.00 ₹</t>
  </si>
  <si>
    <t>2021-07-01</t>
  </si>
  <si>
    <t>WACKER METROARK CHEMICALS PVT. LTD</t>
  </si>
  <si>
    <t>WADHWANI CHAIR IN ENTREPRENEURSHIP</t>
  </si>
  <si>
    <t>3,950,000.00 ₹</t>
  </si>
  <si>
    <t>1998-04-07</t>
  </si>
  <si>
    <t>Wadhwani Foundation</t>
  </si>
  <si>
    <t>Wadhwani Electronic Lab</t>
  </si>
  <si>
    <t>35,965,199.50 ₹</t>
  </si>
  <si>
    <t>2019-08-22</t>
  </si>
  <si>
    <t>Wadhwani Innovation and Translation Center</t>
  </si>
  <si>
    <t>12000000.00 $</t>
  </si>
  <si>
    <t>1,022,052,600.00 ₹</t>
  </si>
  <si>
    <t>2025-04-29</t>
  </si>
  <si>
    <t>Wadhwani Charitable Foundation</t>
  </si>
  <si>
    <t>WEL</t>
  </si>
  <si>
    <t>45,388,575.00 ₹</t>
  </si>
  <si>
    <t>Westinghouse Lecture Series</t>
  </si>
  <si>
    <t>2013-02-28</t>
  </si>
  <si>
    <t>Westinghouse Electric Company LLC</t>
  </si>
  <si>
    <t xml:space="preserve">Wheel Global Foundation:  IT Training Program </t>
  </si>
  <si>
    <t>2,497,879.50 ₹</t>
  </si>
  <si>
    <t>2023-10-12</t>
  </si>
  <si>
    <t>Wheel Global Foundation</t>
  </si>
  <si>
    <t>WIN ChiNu</t>
  </si>
  <si>
    <t>2800000.00 ₹</t>
  </si>
  <si>
    <t>2,800,000.00 ₹</t>
  </si>
  <si>
    <t>2019-11-18</t>
  </si>
  <si>
    <t>Wheels India Niswarth Foundation (WIN)</t>
  </si>
  <si>
    <t>Wing Commander Veer Kumar Dhar Scholarship</t>
  </si>
  <si>
    <t>870000.00 ₹</t>
  </si>
  <si>
    <t>870,000.00 ₹</t>
  </si>
  <si>
    <t>Ms. Sharbani Dhar</t>
  </si>
  <si>
    <t>WIPRO -Development of Teaching Material for incorporating sustainability in chemical engineering undergraduate curriculum</t>
  </si>
  <si>
    <t>1884000.00 ₹</t>
  </si>
  <si>
    <t>1,884,000.00 ₹</t>
  </si>
  <si>
    <t>2022-03-09</t>
  </si>
  <si>
    <t>WIPRO FOUNDATION</t>
  </si>
  <si>
    <t>Women Gen Zero_Coffee Table Book</t>
  </si>
  <si>
    <t>D.C.Agrawal</t>
  </si>
  <si>
    <t>WRCB  PHASE 1</t>
  </si>
  <si>
    <t>2500000.00 $</t>
  </si>
  <si>
    <t>148,023,150.00 ₹</t>
  </si>
  <si>
    <t>2014-06-01</t>
  </si>
  <si>
    <t>WRCB Phase 2</t>
  </si>
  <si>
    <t>3750000.00 $</t>
  </si>
  <si>
    <t>276,799,687.50 ₹</t>
  </si>
  <si>
    <t>2020-10-27</t>
  </si>
  <si>
    <t>Yashoda Apte Research Award</t>
  </si>
  <si>
    <t>7448700.00 ₹</t>
  </si>
  <si>
    <t>7,448,700.00 ₹</t>
  </si>
  <si>
    <t>2021-06-02</t>
  </si>
  <si>
    <t>Manoj Apte</t>
  </si>
  <si>
    <t>Yogen Dalal Chair in IDC</t>
  </si>
  <si>
    <t>14,223,634.60 ₹</t>
  </si>
  <si>
    <t>2023-02-16</t>
  </si>
  <si>
    <t>Dr. Yogen Dalal Chair in IDC</t>
  </si>
  <si>
    <t>WBS No</t>
  </si>
  <si>
    <t>Project Amount</t>
  </si>
  <si>
    <t>Endowment</t>
  </si>
  <si>
    <t>Created Date</t>
  </si>
  <si>
    <t>Wadhwani Research Center</t>
  </si>
  <si>
    <t>DO/2013-WRCB</t>
  </si>
  <si>
    <t>2500000.00</t>
  </si>
  <si>
    <t>No</t>
  </si>
  <si>
    <t>Sahadev Chirayath Memorial Award</t>
  </si>
  <si>
    <t>DO/2024-SAHA</t>
  </si>
  <si>
    <t>25471.00$</t>
  </si>
  <si>
    <t>Yes</t>
  </si>
  <si>
    <t>2024-04-22</t>
  </si>
  <si>
    <t>Semiconductor Research &amp; Academic Progra</t>
  </si>
  <si>
    <t>DO/2024-SRAP</t>
  </si>
  <si>
    <t>1000000.00$</t>
  </si>
  <si>
    <t>2024-12-24</t>
  </si>
  <si>
    <t>For Student Award In CTARA</t>
  </si>
  <si>
    <t>DO/2022-SACT</t>
  </si>
  <si>
    <t>1500000.00₹</t>
  </si>
  <si>
    <t>Vakya System of Astronomy in India</t>
  </si>
  <si>
    <t>DO/2024-ADAN</t>
  </si>
  <si>
    <t>10500000.00₹</t>
  </si>
  <si>
    <t>2024-11-21</t>
  </si>
  <si>
    <t>CENTER FOR POLICY STUDIES DEVLP FUND</t>
  </si>
  <si>
    <t>DO/2019-CPSD</t>
  </si>
  <si>
    <t>150000000.00₹</t>
  </si>
  <si>
    <t>0.00₹</t>
  </si>
  <si>
    <t>2019-03-30</t>
  </si>
  <si>
    <t>Ashank Desai Centre for Policy Studies Endowment</t>
  </si>
  <si>
    <t>DO/2021-ECPS</t>
  </si>
  <si>
    <t>100000000.00₹</t>
  </si>
  <si>
    <t>2022-04-07</t>
  </si>
  <si>
    <t>DO/2021-MAJE</t>
  </si>
  <si>
    <t>50000000.00₹</t>
  </si>
  <si>
    <t>2021-01-11</t>
  </si>
  <si>
    <t>DO/2022-ADCP</t>
  </si>
  <si>
    <t>2022-11-29</t>
  </si>
  <si>
    <t>ADVINUS FELLOWSHIP IN CHEMISTRY DEPT.</t>
  </si>
  <si>
    <t>DO/2006-AFIC</t>
  </si>
  <si>
    <t>364000.00₹</t>
  </si>
  <si>
    <t>2018-03-25</t>
  </si>
  <si>
    <t>Create awareness of AI applications in s</t>
  </si>
  <si>
    <t>DO/2022-RECE</t>
  </si>
  <si>
    <t>800000.00₹</t>
  </si>
  <si>
    <t>DO/2018-AIML</t>
  </si>
  <si>
    <t>150000.00$</t>
  </si>
  <si>
    <t>2018-07-16</t>
  </si>
  <si>
    <t>AJIT SHELAT GOLD MEDAL FOR BEST ACD. PER</t>
  </si>
  <si>
    <t>DO/2012-ASGM</t>
  </si>
  <si>
    <t>500000.00₹</t>
  </si>
  <si>
    <t>2018-03-19</t>
  </si>
  <si>
    <t>Kamala &amp; Gopalan Scholarship</t>
  </si>
  <si>
    <t>DO/2024-KGSL</t>
  </si>
  <si>
    <t>5500000.00₹</t>
  </si>
  <si>
    <t>2024-04-25</t>
  </si>
  <si>
    <t>Abhijeet Banerjee Gold MedalSOM</t>
  </si>
  <si>
    <t>DO/2021-ABGM</t>
  </si>
  <si>
    <t>612000.00₹</t>
  </si>
  <si>
    <t>2021-12-24</t>
  </si>
  <si>
    <t>Annapurna &amp; Hare Narain Maskara Scholars</t>
  </si>
  <si>
    <t>DO/2022-AHNM</t>
  </si>
  <si>
    <t>2023-01-03</t>
  </si>
  <si>
    <t>ANSYS Awards</t>
  </si>
  <si>
    <t>DO/2018-ANSY</t>
  </si>
  <si>
    <t>1620000.00₹</t>
  </si>
  <si>
    <t>2018-02-26</t>
  </si>
  <si>
    <t>Team SHUNYA</t>
  </si>
  <si>
    <t>DO/2022-SHUN</t>
  </si>
  <si>
    <t>250000.00₹</t>
  </si>
  <si>
    <t>2023-01-20</t>
  </si>
  <si>
    <t>Strategic Needs  Arun Firodia Trust</t>
  </si>
  <si>
    <t>DO/2023-FIRO</t>
  </si>
  <si>
    <t>75000000.00₹</t>
  </si>
  <si>
    <t>Chair,Infrastructure,Other</t>
  </si>
  <si>
    <t>Calsoft Chair Professorship in CSE in A</t>
  </si>
  <si>
    <t>DO/2021-CCSE</t>
  </si>
  <si>
    <t>12500000.00₹</t>
  </si>
  <si>
    <t>2022-03-30</t>
  </si>
  <si>
    <t>BDP UGL Global Logistic Pvt Ltd. STAR L</t>
  </si>
  <si>
    <t>DO/2024-STAR</t>
  </si>
  <si>
    <t>2025-02-25</t>
  </si>
  <si>
    <t>B.K. Nilakhe Award</t>
  </si>
  <si>
    <t>DO/2021-BKNA</t>
  </si>
  <si>
    <t>25000.00₹</t>
  </si>
  <si>
    <t>2021-03-31</t>
  </si>
  <si>
    <t>THE BAJAJ GROUP DONATION FOR FOUR CHAIRS</t>
  </si>
  <si>
    <t>DO/2007-TBDE</t>
  </si>
  <si>
    <t>20000000.00₹</t>
  </si>
  <si>
    <t>Makerspace</t>
  </si>
  <si>
    <t>DO/2019-MKSP</t>
  </si>
  <si>
    <t>143000.00$</t>
  </si>
  <si>
    <t>2019-09-17</t>
  </si>
  <si>
    <t>100000.00₹</t>
  </si>
  <si>
    <t>Beekeeping Program Interventions to Boos</t>
  </si>
  <si>
    <t>DO/2023-BEEK</t>
  </si>
  <si>
    <t>1995000.00₹</t>
  </si>
  <si>
    <t>LUCENT TECHNOLOGIES INDIA P.LTD(BELL LAB</t>
  </si>
  <si>
    <t>DO/2005-LTIL</t>
  </si>
  <si>
    <t>750000.00₹</t>
  </si>
  <si>
    <t>DO/2014-BRIS</t>
  </si>
  <si>
    <t>5785000.00₹</t>
  </si>
  <si>
    <t>IN COVID SUPPORT FZE LLC</t>
  </si>
  <si>
    <t>DO/2024-INCO</t>
  </si>
  <si>
    <t>300000.00$</t>
  </si>
  <si>
    <t>3000000.00$</t>
  </si>
  <si>
    <t>2024-04-30</t>
  </si>
  <si>
    <t>BHARTI CENTRE OF COMMUNICATION(EE)</t>
  </si>
  <si>
    <t>DO/2007-BCOC</t>
  </si>
  <si>
    <t>40304000.00₹</t>
  </si>
  <si>
    <t>2018-04-10</t>
  </si>
  <si>
    <t>DO/2000-BGMF</t>
  </si>
  <si>
    <t>496000.00₹</t>
  </si>
  <si>
    <t>Bhukhanvala Industries Pvt Ltd.</t>
  </si>
  <si>
    <t>DO/2024-BIPL</t>
  </si>
  <si>
    <t>5000000.00₹</t>
  </si>
  <si>
    <t>2024-11-07</t>
  </si>
  <si>
    <t>BISWASPALEPU DISTINGUISHED CHAIR IN DEP</t>
  </si>
  <si>
    <t>DO/2011-BPDC</t>
  </si>
  <si>
    <t>6000000.00₹</t>
  </si>
  <si>
    <t>Blaser Scholarship &amp; Up gradation of Lab</t>
  </si>
  <si>
    <t>DO/2021-BSUL</t>
  </si>
  <si>
    <t>3000000.00₹</t>
  </si>
  <si>
    <t>Lab &amp; Equipment,Scholarship</t>
  </si>
  <si>
    <t>2021-09-08</t>
  </si>
  <si>
    <t>Sustainable and Resilient Rural and Urban Water Distribution Systems</t>
  </si>
  <si>
    <t>DO/2025-SRRU</t>
  </si>
  <si>
    <t>4500000.00₹</t>
  </si>
  <si>
    <t>Bank of Baroda Innovation centre (BoBIC)</t>
  </si>
  <si>
    <t>DO/2019-BBIC</t>
  </si>
  <si>
    <t>250000000.00₹</t>
  </si>
  <si>
    <t>2019-08-06</t>
  </si>
  <si>
    <t>BOB Chair for Digital Entrepreneurship</t>
  </si>
  <si>
    <t>DO/2020-BOBC</t>
  </si>
  <si>
    <t>2020-06-16</t>
  </si>
  <si>
    <t>Brijraj Chandra Mansingh Chemical Lab</t>
  </si>
  <si>
    <t>DO/2019-BCCL</t>
  </si>
  <si>
    <t>200000.00$</t>
  </si>
  <si>
    <t>15000000.00$</t>
  </si>
  <si>
    <t>2019-07-29</t>
  </si>
  <si>
    <t>BUREAU CHAIR PROFESSORSHIP</t>
  </si>
  <si>
    <t>DO/2023-BISC</t>
  </si>
  <si>
    <t>2023-11-10</t>
  </si>
  <si>
    <t>Class of 1985 Legacy Project</t>
  </si>
  <si>
    <t>DO/2001-LP85</t>
  </si>
  <si>
    <t>2500000.00₹</t>
  </si>
  <si>
    <t>2018-03-01</t>
  </si>
  <si>
    <t>CL98 Chair for Quantum Computing</t>
  </si>
  <si>
    <t>DO/2021-CCQC</t>
  </si>
  <si>
    <t>12000000.00₹</t>
  </si>
  <si>
    <t>2022-04-04</t>
  </si>
  <si>
    <t>Unrestricted Funds</t>
  </si>
  <si>
    <t>722108.00₹</t>
  </si>
  <si>
    <t>Bhide Family Chair Professorship</t>
  </si>
  <si>
    <t>CDSL Vajra</t>
  </si>
  <si>
    <t>DO/2022-VAJR</t>
  </si>
  <si>
    <t>2022-09-19</t>
  </si>
  <si>
    <t>DO/2021-COGE</t>
  </si>
  <si>
    <t>850000000.00₹</t>
  </si>
  <si>
    <t>2021-05-04</t>
  </si>
  <si>
    <t>CSR Contribution to IIT Bombay towards s</t>
  </si>
  <si>
    <t>DO/2023-CTDL</t>
  </si>
  <si>
    <t>143330000.00₹</t>
  </si>
  <si>
    <t>CITIUSTECHSINE/IITB LEGACY PROJECT1991</t>
  </si>
  <si>
    <t>DO/2018-CITI</t>
  </si>
  <si>
    <t>15000000.00₹</t>
  </si>
  <si>
    <t>2018-06-18</t>
  </si>
  <si>
    <t>Class of 1970 Legacy Project (TRA)</t>
  </si>
  <si>
    <t>DO/2023-TR70</t>
  </si>
  <si>
    <t>35000000.00₹</t>
  </si>
  <si>
    <t>2023-10-13</t>
  </si>
  <si>
    <t>CLASS OF 85 CHAIR IN TECHNOLOGY &amp; SUSTAI</t>
  </si>
  <si>
    <t>DO/2012-COIT</t>
  </si>
  <si>
    <t>9000000.00₹</t>
  </si>
  <si>
    <t>CLASS OF 1990 LP SCHOLARSHIP FUND</t>
  </si>
  <si>
    <t>DO/2017-COLP</t>
  </si>
  <si>
    <t>Class of 96 Legacy Project</t>
  </si>
  <si>
    <t>DO/2021-LP96</t>
  </si>
  <si>
    <t>118500000.00₹</t>
  </si>
  <si>
    <t>Award,Other</t>
  </si>
  <si>
    <t>2021-12-27</t>
  </si>
  <si>
    <t>Class of 97 Legacy Project</t>
  </si>
  <si>
    <t>DO/2022-LP97</t>
  </si>
  <si>
    <t>120000000.00₹</t>
  </si>
  <si>
    <t>Infrastructure,Other</t>
  </si>
  <si>
    <t>2022-11-10</t>
  </si>
  <si>
    <t>CLASS OF 1998GIFT</t>
  </si>
  <si>
    <t>DO/2018-CL98</t>
  </si>
  <si>
    <t>4000000.00₹</t>
  </si>
  <si>
    <t>2018-08-23</t>
  </si>
  <si>
    <t>CMInDS</t>
  </si>
  <si>
    <t>DO/2021-CMIN</t>
  </si>
  <si>
    <t>2022-06-07</t>
  </si>
  <si>
    <t>375000000.00₹</t>
  </si>
  <si>
    <t>Gupshup Technology India Private Limited</t>
  </si>
  <si>
    <t>DO/2022-GTIP</t>
  </si>
  <si>
    <t>Academic Program,Other,R&amp;D</t>
  </si>
  <si>
    <t>2022-10-19</t>
  </si>
  <si>
    <t>CLASS OF 73</t>
  </si>
  <si>
    <t>DO/2002-LP73</t>
  </si>
  <si>
    <t>67700000.00₹</t>
  </si>
  <si>
    <t>Award,Lab &amp; Equipment</t>
  </si>
  <si>
    <t>Research Excellence Faculty Award</t>
  </si>
  <si>
    <t>DO/2023-C73A</t>
  </si>
  <si>
    <t>8000000.00₹</t>
  </si>
  <si>
    <t>2023-06-15</t>
  </si>
  <si>
    <t>Developing &amp; Designing a Prototype for A</t>
  </si>
  <si>
    <t>DO/2023-COAL</t>
  </si>
  <si>
    <t>18240045.00₹</t>
  </si>
  <si>
    <t>2023-12-20</t>
  </si>
  <si>
    <t>Coal India Ltd - Project Evergreen</t>
  </si>
  <si>
    <t>DO/2023-COLI</t>
  </si>
  <si>
    <t>300000000.00₹</t>
  </si>
  <si>
    <t>2023-12-29</t>
  </si>
  <si>
    <t>Endowment WBS for 5 Chairs in Center of</t>
  </si>
  <si>
    <t>DO/2021-EWCC</t>
  </si>
  <si>
    <t>Construction of sustainable bituminous pavements</t>
  </si>
  <si>
    <t>DO/2023-MNEX</t>
  </si>
  <si>
    <t>11000000.00₹</t>
  </si>
  <si>
    <t>2024-02-23</t>
  </si>
  <si>
    <t>CSR research in Chemistry</t>
  </si>
  <si>
    <t>DO/2020-CSRC</t>
  </si>
  <si>
    <t>2060000.00₹</t>
  </si>
  <si>
    <t>2020-09-24</t>
  </si>
  <si>
    <t>DO/2023-CUMN</t>
  </si>
  <si>
    <t>2023-09-04</t>
  </si>
  <si>
    <t>DHRUMIL GANDHI/VISITING CHAIR PROF. IN E</t>
  </si>
  <si>
    <t>DO/2004-VCPE</t>
  </si>
  <si>
    <t>7354000.00₹</t>
  </si>
  <si>
    <t>5644325.00₹</t>
  </si>
  <si>
    <t>DO/2019-CSRP</t>
  </si>
  <si>
    <t>2019-04-02</t>
  </si>
  <si>
    <t>Reduce solar heating in homes</t>
  </si>
  <si>
    <t>DO/2019-RSHH</t>
  </si>
  <si>
    <t>1100000.00₹</t>
  </si>
  <si>
    <t>2019-07-10</t>
  </si>
  <si>
    <t>Dissemination of innovative rural techno</t>
  </si>
  <si>
    <t>DO/2021-DCIL</t>
  </si>
  <si>
    <t>20724000.00₹</t>
  </si>
  <si>
    <t>Deepak and Maya Satwalekar Lab (Design a</t>
  </si>
  <si>
    <t>DO/2021-DMSL</t>
  </si>
  <si>
    <t>67000000.00₹</t>
  </si>
  <si>
    <t>2022-03-29</t>
  </si>
  <si>
    <t>WOMEN CELLCSR DEUTSCHE CIB CENTER</t>
  </si>
  <si>
    <t>DO/2018-WOMC</t>
  </si>
  <si>
    <t>2018-03-24</t>
  </si>
  <si>
    <t>Manch 6.0</t>
  </si>
  <si>
    <t>700000.00₹</t>
  </si>
  <si>
    <t>Development of IIT Campus School Buildin</t>
  </si>
  <si>
    <t>DO/2022-CSBG</t>
  </si>
  <si>
    <t>2023-03-18</t>
  </si>
  <si>
    <t>GARGI VISHNOI MEMORIAL SCHOLARSHIP</t>
  </si>
  <si>
    <t>DO/2017-GVMS</t>
  </si>
  <si>
    <t>75000.00₹</t>
  </si>
  <si>
    <t>DILIP R.LIMAYE ACADEMIC EXCELLENCE AWARD</t>
  </si>
  <si>
    <t>DO/2004-LAEA</t>
  </si>
  <si>
    <t>21000.00$</t>
  </si>
  <si>
    <t>D.L.SHAH CHAIR FOR INNOVATION</t>
  </si>
  <si>
    <t>DO/2014-SCFI</t>
  </si>
  <si>
    <t>PROF. ISSAC CHAIR &amp; SCHOLARSHIP</t>
  </si>
  <si>
    <t>DO/2002-PICS</t>
  </si>
  <si>
    <t>244093.00$</t>
  </si>
  <si>
    <t>Chair,Fellowship</t>
  </si>
  <si>
    <t>DO/2002-SFMS</t>
  </si>
  <si>
    <t>120000.00$</t>
  </si>
  <si>
    <t>VIJAY VASHEE FOR AJAY VAHSEE FELLOWSHIPS</t>
  </si>
  <si>
    <t>DO/2002-VVAV</t>
  </si>
  <si>
    <t>360000.00$</t>
  </si>
  <si>
    <t>DO/2002-VVSV</t>
  </si>
  <si>
    <t>VIJAY VASHEE FOR THOMAS DOOIECLASS OF 7</t>
  </si>
  <si>
    <t>DO/2002-VVTD</t>
  </si>
  <si>
    <t>VIJAY VASHEE EXCELLENCE AWARD</t>
  </si>
  <si>
    <t>DO/2010-VVEA</t>
  </si>
  <si>
    <t>Award,Chair,Fellowship</t>
  </si>
  <si>
    <t>G.K. DEVARAJULU CHAIR PROFESSORSHIP A/C.</t>
  </si>
  <si>
    <t>DO/2003-DCPH</t>
  </si>
  <si>
    <t>6500000.00₹</t>
  </si>
  <si>
    <t>SUBARAO NILEKANI CHAIR ENDOWMENT</t>
  </si>
  <si>
    <t>DO/2003-SNCE</t>
  </si>
  <si>
    <t>VARIFONE INDIA PVT. LTD./CHAIR PROFESSOR</t>
  </si>
  <si>
    <t>DO/2003-VIPL</t>
  </si>
  <si>
    <t>3550000.00₹</t>
  </si>
  <si>
    <t>DO/2008-WCIE</t>
  </si>
  <si>
    <t>100000.00$</t>
  </si>
  <si>
    <t>PRAJ INDUSTRIES CHAIR IN ENERGY SCIENCE&amp;</t>
  </si>
  <si>
    <t>DO/2014-PICE</t>
  </si>
  <si>
    <t>5100000.00₹</t>
  </si>
  <si>
    <t>HINDUSTAN AERONAUTICS LTD CHAIR PROFESSO</t>
  </si>
  <si>
    <t>DO/2015-HAPS</t>
  </si>
  <si>
    <t>13000000.00₹</t>
  </si>
  <si>
    <t>Maker Bhawan Foundation</t>
  </si>
  <si>
    <t>DO/2021-MBFD</t>
  </si>
  <si>
    <t>DO/2019-EKAL</t>
  </si>
  <si>
    <t>2019-05-13</t>
  </si>
  <si>
    <t>Metrohm Young Chemist Award</t>
  </si>
  <si>
    <t>DO/2019-MYCA</t>
  </si>
  <si>
    <t>2019-12-10</t>
  </si>
  <si>
    <t>DHANANJAY JOSHI ENDOWMENT FUND</t>
  </si>
  <si>
    <t>DO/2019-DJEF</t>
  </si>
  <si>
    <t>2019-03-26</t>
  </si>
  <si>
    <t>Secretariat for Societal Solutions</t>
  </si>
  <si>
    <t>DO/2020-SFSS</t>
  </si>
  <si>
    <t>10800000.00₹</t>
  </si>
  <si>
    <t>2021-03-22</t>
  </si>
  <si>
    <t>Shobha Dixit chair professor</t>
  </si>
  <si>
    <t>DO/2021-AMDC</t>
  </si>
  <si>
    <t>2021-06-07</t>
  </si>
  <si>
    <t>A Parthasarathy G. Shanmugam Award in</t>
  </si>
  <si>
    <t>DO/2021-APSA</t>
  </si>
  <si>
    <t>2021-04-15</t>
  </si>
  <si>
    <t>DO/2021-APTI</t>
  </si>
  <si>
    <t>1360000.00₹</t>
  </si>
  <si>
    <t>2022-01-07</t>
  </si>
  <si>
    <t>Centre for Digital Health</t>
  </si>
  <si>
    <t>DO/2021-CFDH</t>
  </si>
  <si>
    <t>An affordable point of care test for det</t>
  </si>
  <si>
    <t>DO/2021-CTID</t>
  </si>
  <si>
    <t>1732000.00₹</t>
  </si>
  <si>
    <t>2022-04-05</t>
  </si>
  <si>
    <t>DO/2021-DIMS</t>
  </si>
  <si>
    <t>5200000.00₹</t>
  </si>
  <si>
    <t>2021-01-08</t>
  </si>
  <si>
    <t>Getinge Medical India Pvt. Ltd.</t>
  </si>
  <si>
    <t>DO/2021-GETI</t>
  </si>
  <si>
    <t>2750000.00₹</t>
  </si>
  <si>
    <t>4300000.00₹</t>
  </si>
  <si>
    <t>2022-03-23</t>
  </si>
  <si>
    <t>H.N. Kothari Scholarship</t>
  </si>
  <si>
    <t>DO/2021-HNKS</t>
  </si>
  <si>
    <t>1088000.00₹</t>
  </si>
  <si>
    <t>2022-03-25</t>
  </si>
  <si>
    <t>Inox Lab &amp; Scholarship for B.Tech stude</t>
  </si>
  <si>
    <t>DO/2021-ILSB</t>
  </si>
  <si>
    <t>272000.00₹</t>
  </si>
  <si>
    <t>2021-12-31</t>
  </si>
  <si>
    <t>Grant 228: Anantrao Jagtap Chair for Co</t>
  </si>
  <si>
    <t>DO/2021-JCCM</t>
  </si>
  <si>
    <t>2021-12-30</t>
  </si>
  <si>
    <t>Jayant Kanitkar Merit Awards Anjali M P</t>
  </si>
  <si>
    <t>DO/2021-JKMA</t>
  </si>
  <si>
    <t>110000.00$</t>
  </si>
  <si>
    <t>2021-12-07</t>
  </si>
  <si>
    <t>DO/2021-KFQF</t>
  </si>
  <si>
    <t>172000.00$</t>
  </si>
  <si>
    <t>2022-02-03</t>
  </si>
  <si>
    <t>Kamakshi Narayanan MCM Scholarship</t>
  </si>
  <si>
    <t>DO/2021-KNMC</t>
  </si>
  <si>
    <t>1040000.00₹</t>
  </si>
  <si>
    <t>2021-03-11</t>
  </si>
  <si>
    <t>DO/2021-KSAC</t>
  </si>
  <si>
    <t>Naik and Rastogi Excellence in PhD Thesi</t>
  </si>
  <si>
    <t>DO/2021-PHDA</t>
  </si>
  <si>
    <t>19000000.00₹</t>
  </si>
  <si>
    <t>Naik and Rastogi Excellence award for ex</t>
  </si>
  <si>
    <t>DO/2021-PHDI</t>
  </si>
  <si>
    <t>21000000.00₹</t>
  </si>
  <si>
    <t>DO/2021-PVSC</t>
  </si>
  <si>
    <t>2021-10-20</t>
  </si>
  <si>
    <t>BHANU SCHOLARSHIP  RAJENDRA VADILAL GAN</t>
  </si>
  <si>
    <t>DO/2021-RGBS</t>
  </si>
  <si>
    <t>5540000.00₹</t>
  </si>
  <si>
    <t>DO/2021-RTMS</t>
  </si>
  <si>
    <t>TECNIMONT</t>
  </si>
  <si>
    <t>DO/2021-TSIP</t>
  </si>
  <si>
    <t>2300000.00₹</t>
  </si>
  <si>
    <t>Fellowship,Scholarship</t>
  </si>
  <si>
    <t>2021-04-01</t>
  </si>
  <si>
    <t>Digital Trust Chair  Shridhar Shukla</t>
  </si>
  <si>
    <t>DO/2022-SSCT</t>
  </si>
  <si>
    <t>37500000.00₹</t>
  </si>
  <si>
    <t>2022-10-06</t>
  </si>
  <si>
    <t>Samir and Vinaya Kapoor Chair in Climate</t>
  </si>
  <si>
    <t>DO/2022-SVCS</t>
  </si>
  <si>
    <t>Instituting Awards &amp; Lecture Series</t>
  </si>
  <si>
    <t>DO/2024-PDAC</t>
  </si>
  <si>
    <t>2000000.00₹</t>
  </si>
  <si>
    <t>2024-06-25</t>
  </si>
  <si>
    <t>Dr. Niren Laxmichand Nagda Award</t>
  </si>
  <si>
    <t>DO/2024-NAGD</t>
  </si>
  <si>
    <t>400000.00₹</t>
  </si>
  <si>
    <t>2024-05-09</t>
  </si>
  <si>
    <t>DO/2023-DTMC</t>
  </si>
  <si>
    <t>Dr. Manu Akula Memorial Award for Academ</t>
  </si>
  <si>
    <t>DO/2023-DMAM</t>
  </si>
  <si>
    <t>2100000.00₹</t>
  </si>
  <si>
    <t>CLASS OF 62 PROJECT</t>
  </si>
  <si>
    <t>DO/2008-COPT</t>
  </si>
  <si>
    <t>Dr. P. R Sharadamani Environmental Chemi</t>
  </si>
  <si>
    <t>DO/2023-DPRS</t>
  </si>
  <si>
    <t>12500000.00$</t>
  </si>
  <si>
    <t>PRAMOD CHAUDHARI CHAIR FOR INNOVATION</t>
  </si>
  <si>
    <t>DO/2014-PCCI</t>
  </si>
  <si>
    <t>DO/2014-DSPF</t>
  </si>
  <si>
    <t>32460.00$</t>
  </si>
  <si>
    <t>2018-01-31</t>
  </si>
  <si>
    <t>DO/2024-IRCT</t>
  </si>
  <si>
    <t>2189000.00₹</t>
  </si>
  <si>
    <t>2024-11-29</t>
  </si>
  <si>
    <t>Drone Research Program</t>
  </si>
  <si>
    <t>DO/2022-DRPR</t>
  </si>
  <si>
    <t>1800000.00₹</t>
  </si>
  <si>
    <t>2023-03-15</t>
  </si>
  <si>
    <t>DS CENTRE ENT. CENTRE INFRASTRUCTURE</t>
  </si>
  <si>
    <t>2022-07-04</t>
  </si>
  <si>
    <t>ENTREPRENEURESHIP CELL ( CL. OF 85 )</t>
  </si>
  <si>
    <t>DO/2015-EPSC</t>
  </si>
  <si>
    <t>Spoken Tutorials</t>
  </si>
  <si>
    <t>eClinical Works India Private Limited</t>
  </si>
  <si>
    <t>DO/2023-ECIP</t>
  </si>
  <si>
    <t>17500000.00₹</t>
  </si>
  <si>
    <t>Other,R&amp;D</t>
  </si>
  <si>
    <t>Econometrics Laboratory</t>
  </si>
  <si>
    <t>DO/2021-ELAB</t>
  </si>
  <si>
    <t>7200000.00₹</t>
  </si>
  <si>
    <t>ELNET TECHNOLOGIES LTD</t>
  </si>
  <si>
    <t>DO/2019-ELTL</t>
  </si>
  <si>
    <t>1440000.00₹</t>
  </si>
  <si>
    <t>2020-03-27</t>
  </si>
  <si>
    <t>Spoken Tutorials ProjectCSR FUND</t>
  </si>
  <si>
    <t>DO/2021-STPC</t>
  </si>
  <si>
    <t>1000000.00₹</t>
  </si>
  <si>
    <t>2022-02-24</t>
  </si>
  <si>
    <t>DO/2019-EDPG</t>
  </si>
  <si>
    <t>2019-04-18</t>
  </si>
  <si>
    <t>Erach and Meheroo Mehta Advanced Educati</t>
  </si>
  <si>
    <t>DO/2018-AETC</t>
  </si>
  <si>
    <t>2018-08-28</t>
  </si>
  <si>
    <t>ESR Technology Limited  Research Activi</t>
  </si>
  <si>
    <t>DO/2024-ESRT</t>
  </si>
  <si>
    <t>2688960.00₹</t>
  </si>
  <si>
    <t>2024-07-24</t>
  </si>
  <si>
    <t>Bioinnovation Laboratory at IIT Bombay</t>
  </si>
  <si>
    <t>DO/2024-HIME</t>
  </si>
  <si>
    <t>30000000.00₹</t>
  </si>
  <si>
    <t>Construction of Auditorium inside the Al</t>
  </si>
  <si>
    <t>DO/2022-EFPP</t>
  </si>
  <si>
    <t>2023-03-30</t>
  </si>
  <si>
    <t>Evonik India Pvt Ltd  Grow Beyond Yours</t>
  </si>
  <si>
    <t>DO/2024-EVON</t>
  </si>
  <si>
    <t>5250000.00₹</t>
  </si>
  <si>
    <t>Evonik Catalysts India Private Limited</t>
  </si>
  <si>
    <t>DO/2024-ECPL</t>
  </si>
  <si>
    <t>PatentCentric Frameworks for evaluation</t>
  </si>
  <si>
    <t>DO/2021-FIOS</t>
  </si>
  <si>
    <t>1890000.00₹</t>
  </si>
  <si>
    <t>2021-03-01</t>
  </si>
  <si>
    <t>Facebook India Online Services Pvt. Ltd.</t>
  </si>
  <si>
    <t>DO/2023-FACE</t>
  </si>
  <si>
    <t>8559191.00₹</t>
  </si>
  <si>
    <t>2024-02-29</t>
  </si>
  <si>
    <t>Family Values and entrepreneurial Success</t>
  </si>
  <si>
    <t>IIT Bombay  FedEx Center for Advanced L</t>
  </si>
  <si>
    <t>5408728.00$</t>
  </si>
  <si>
    <t>450712279.00$</t>
  </si>
  <si>
    <t>Fellowship,Infrastructure,Other,R&amp;D</t>
  </si>
  <si>
    <t>2024-01-30</t>
  </si>
  <si>
    <t>Fedex Infrastructure Endowment</t>
  </si>
  <si>
    <t>DO/2024-EFED</t>
  </si>
  <si>
    <t>150000000.00$</t>
  </si>
  <si>
    <t>NCETIS Phase II</t>
  </si>
  <si>
    <t>DO/2023-NCET</t>
  </si>
  <si>
    <t>2190467.00₹</t>
  </si>
  <si>
    <t>Organic Solar Cells</t>
  </si>
  <si>
    <t>DO/2023-SLBC</t>
  </si>
  <si>
    <t>3619050.00₹</t>
  </si>
  <si>
    <t>Customer Review Analytics (Flipkart Inte</t>
  </si>
  <si>
    <t>DO/2022-FLIP</t>
  </si>
  <si>
    <t>2023-01-11</t>
  </si>
  <si>
    <t>FORBES MARSHALL CHAIR</t>
  </si>
  <si>
    <t>DO/2014-FBMC</t>
  </si>
  <si>
    <t>FORBES MARSHALL M TECH PROGRAM</t>
  </si>
  <si>
    <t>DO/2015-FMMP</t>
  </si>
  <si>
    <t>1562000.00₹</t>
  </si>
  <si>
    <t>DO/2021-TCEP</t>
  </si>
  <si>
    <t>Ankush Shikshan SansthaStudent Awards</t>
  </si>
  <si>
    <t>DO/2025-ASKS</t>
  </si>
  <si>
    <t>2025-09-15</t>
  </si>
  <si>
    <t>Prof. G.K. Trivedi Annual Award Lecture</t>
  </si>
  <si>
    <t>DO/2021-GKTA</t>
  </si>
  <si>
    <t>2670000.00₹</t>
  </si>
  <si>
    <t>2021-08-26</t>
  </si>
  <si>
    <t>300000.00₹</t>
  </si>
  <si>
    <t>Dr. Gauri Shah Endowment Fund</t>
  </si>
  <si>
    <t>DO/2019-GSEF</t>
  </si>
  <si>
    <t>20500000.00₹</t>
  </si>
  <si>
    <t>2020-02-04</t>
  </si>
  <si>
    <t>DO/2020-GSWE</t>
  </si>
  <si>
    <t>10520000.00₹</t>
  </si>
  <si>
    <t>GMP Lab Project at Bio Science &amp; Bio Eng</t>
  </si>
  <si>
    <t>DO/2021-GMPF</t>
  </si>
  <si>
    <t>70000000.00₹</t>
  </si>
  <si>
    <t>Infrastructure,Lab &amp; Equipment</t>
  </si>
  <si>
    <t>2022-04-21</t>
  </si>
  <si>
    <t>GOLDMAN SACHS INDIA SECURITIES PVT LTD.</t>
  </si>
  <si>
    <t>DO/2018-GOLD</t>
  </si>
  <si>
    <t>7150000.00₹</t>
  </si>
  <si>
    <t>2018-09-24</t>
  </si>
  <si>
    <t>Goole Asia Pacific Grant</t>
  </si>
  <si>
    <t>DO/2025-GOGL</t>
  </si>
  <si>
    <t>13243500.00₹</t>
  </si>
  <si>
    <t>Google Cloud Chair Professorship</t>
  </si>
  <si>
    <t>DO/2023-GCCP</t>
  </si>
  <si>
    <t>2023-11-13</t>
  </si>
  <si>
    <t>DO/2021-GZWP</t>
  </si>
  <si>
    <t>2700000.00₹</t>
  </si>
  <si>
    <t>SAMEER HALEPETE CHAIR IN AI&amp;ML</t>
  </si>
  <si>
    <t>DO/2018-CPAI</t>
  </si>
  <si>
    <t>HDFC Innovation Lab for R&amp;D Projects</t>
  </si>
  <si>
    <t>DO/2021-HDRD</t>
  </si>
  <si>
    <t>2021-09-29</t>
  </si>
  <si>
    <t>CMInDS fellowship for 10 IDDDP students</t>
  </si>
  <si>
    <t>1364000.00₹</t>
  </si>
  <si>
    <t>HDFC Ergo Scholarships for 10 UG students</t>
  </si>
  <si>
    <t>1632000.00₹</t>
  </si>
  <si>
    <t>HDFC ERGO General Insurance Comp. Ltd.</t>
  </si>
  <si>
    <t>DO/2021-HEGI</t>
  </si>
  <si>
    <t>2021-08-12</t>
  </si>
  <si>
    <t>Higher Education Financing Agency (HEFA)</t>
  </si>
  <si>
    <t>DO/2023-HEFA</t>
  </si>
  <si>
    <t>Hella India Automotive Pvt Ltd</t>
  </si>
  <si>
    <t>DO/2024-HELA</t>
  </si>
  <si>
    <t>18000000.00₹</t>
  </si>
  <si>
    <t>High Speed Flow Diagnostic Lab in Aerosp</t>
  </si>
  <si>
    <t>DO/2022-HSFD</t>
  </si>
  <si>
    <t>125000.00$</t>
  </si>
  <si>
    <t>2022-12-30</t>
  </si>
  <si>
    <t>Himanshu Patel Chair for Applied Bio Sci</t>
  </si>
  <si>
    <t>DO/2020-HPCA</t>
  </si>
  <si>
    <t>2021-02-23</t>
  </si>
  <si>
    <t>HINDI VIDYA BHAVAN / SOM</t>
  </si>
  <si>
    <t>DO/2003-SOME</t>
  </si>
  <si>
    <t>10000000.00₹</t>
  </si>
  <si>
    <t>PROF. HIRALAL MEMORIAL AWARD</t>
  </si>
  <si>
    <t>DO/2008-PHMA</t>
  </si>
  <si>
    <t>H M LALA &amp; J H LALA EXCELLENCE IN TEACHI</t>
  </si>
  <si>
    <t>DO/2015-EITA</t>
  </si>
  <si>
    <t>635000.00₹</t>
  </si>
  <si>
    <t>DO/2017-HJET</t>
  </si>
  <si>
    <t>HONEYBEE</t>
  </si>
  <si>
    <t>DO/2021-HONB</t>
  </si>
  <si>
    <t>2835000.00₹</t>
  </si>
  <si>
    <t>Hostel 5 Study and Toilet blocks</t>
  </si>
  <si>
    <t>H5 Enhancement</t>
  </si>
  <si>
    <t>DO/2020-H5EN</t>
  </si>
  <si>
    <t>2021-01-13</t>
  </si>
  <si>
    <t>HINDUSTAN PETROLEUM CORP LTD M TECH SCHO</t>
  </si>
  <si>
    <t>DO/2015-HPCL</t>
  </si>
  <si>
    <t>BASELINE HYDRO LOGICAL BUDGET</t>
  </si>
  <si>
    <t>DO/2019-BHLB</t>
  </si>
  <si>
    <t>3807200.00₹</t>
  </si>
  <si>
    <t>2019-07-08</t>
  </si>
  <si>
    <t>IEOR Dept. Endowment</t>
  </si>
  <si>
    <t>DO/2021-IOER</t>
  </si>
  <si>
    <t>2021-06-11</t>
  </si>
  <si>
    <t>IITB Trust Lab Dr.Shridhar Shukla funds</t>
  </si>
  <si>
    <t>DO/2022-SBST</t>
  </si>
  <si>
    <t>252500000.00₹</t>
  </si>
  <si>
    <t>290000000.00₹</t>
  </si>
  <si>
    <t>DO/2023-INAN</t>
  </si>
  <si>
    <t>Indira Foundation</t>
  </si>
  <si>
    <t>DO/2018-INFD</t>
  </si>
  <si>
    <t>3186365.00₹</t>
  </si>
  <si>
    <t>3186365.67₹</t>
  </si>
  <si>
    <t>2018-03-23</t>
  </si>
  <si>
    <t>Innovation incubation &amp; ENTREPREN Activ</t>
  </si>
  <si>
    <t>DO/2019-IIEA</t>
  </si>
  <si>
    <t>4232000.00₹</t>
  </si>
  <si>
    <t>Machinery Diagnostics Using Nonlinear No</t>
  </si>
  <si>
    <t>DO/2023-ITPL</t>
  </si>
  <si>
    <t>4400000.00₹</t>
  </si>
  <si>
    <t>2024-03-23</t>
  </si>
  <si>
    <t>Ingenero Technologies (India) Pvt Ltd</t>
  </si>
  <si>
    <t>INVENTION FACTORY</t>
  </si>
  <si>
    <t>DO/2019-INNF</t>
  </si>
  <si>
    <t>13500000.00₹</t>
  </si>
  <si>
    <t>2020-04-08</t>
  </si>
  <si>
    <t>Setting up Cryogenics Lab at IITB</t>
  </si>
  <si>
    <t>DO/2021-GFLL</t>
  </si>
  <si>
    <t>27500000.00₹</t>
  </si>
  <si>
    <t>DO/2021-GFLC</t>
  </si>
  <si>
    <t>DO/2021-IWMF</t>
  </si>
  <si>
    <t>136000.00₹</t>
  </si>
  <si>
    <t>2021-04-07</t>
  </si>
  <si>
    <t>DO/2019-ISRI</t>
  </si>
  <si>
    <t>510000.00₹</t>
  </si>
  <si>
    <t>2019-07-17</t>
  </si>
  <si>
    <t>INDIA VALUE FUND CHAIR PROFESSORSHIP IN</t>
  </si>
  <si>
    <t>DO/2012-IVFC</t>
  </si>
  <si>
    <t>IvyCap Ventures Advisors Pvt Ltd  Entre</t>
  </si>
  <si>
    <t>DO/2023-IVYC</t>
  </si>
  <si>
    <t>3800000.00₹</t>
  </si>
  <si>
    <t>2023-08-04</t>
  </si>
  <si>
    <t>DO/2024-JSIP</t>
  </si>
  <si>
    <t>Asha Navani Fellowship (Janki Foundation</t>
  </si>
  <si>
    <t>DO/2023-JANF</t>
  </si>
  <si>
    <t>562500.00$</t>
  </si>
  <si>
    <t>9334822.00$</t>
  </si>
  <si>
    <t>2024-07-11</t>
  </si>
  <si>
    <t>Mahesh Navani-Janki Foundation-Hostel Development</t>
  </si>
  <si>
    <t>DO/2023-JANK</t>
  </si>
  <si>
    <t>2023-08-21</t>
  </si>
  <si>
    <t>Women Faculty Chair Professorship</t>
  </si>
  <si>
    <t>DO/2023-WFCP</t>
  </si>
  <si>
    <t>Jaywant M. Nabar Diamond Level Scholarsh</t>
  </si>
  <si>
    <t>DO/2022-JNDS</t>
  </si>
  <si>
    <t>2022-07-25</t>
  </si>
  <si>
    <t>Jindal Stainless Chair Professorship</t>
  </si>
  <si>
    <t>DO/2023-JSCP</t>
  </si>
  <si>
    <t>JITENDRA MEHTA CHAIR IN CIVIL ENGG ( CL</t>
  </si>
  <si>
    <t>DO/2015-JMCI</t>
  </si>
  <si>
    <t>Sajjan Jindal Steel Chair Professorship</t>
  </si>
  <si>
    <t>DO/2022-SJSC</t>
  </si>
  <si>
    <t>Electrical Engineering Dept</t>
  </si>
  <si>
    <t>DO/2019-ELEC</t>
  </si>
  <si>
    <t>2019-03-29</t>
  </si>
  <si>
    <t>Vinaya &amp; Samir Kapoor (ACCESS)</t>
  </si>
  <si>
    <t>DO/2023-ACES</t>
  </si>
  <si>
    <t>1400000.00$</t>
  </si>
  <si>
    <t>Smt. Chander Mohini Kapoor and Jeewan Ka</t>
  </si>
  <si>
    <t>DO/2023-SCJK</t>
  </si>
  <si>
    <t>200000.00₹</t>
  </si>
  <si>
    <t>CSR/KELVION INDIA PVT LTD</t>
  </si>
  <si>
    <t>DO/2014-LVIP</t>
  </si>
  <si>
    <t>Kinetic Chair Professor in Mobility &amp; El</t>
  </si>
  <si>
    <t>DO/2023-KINC</t>
  </si>
  <si>
    <t>DO/2022-IITM</t>
  </si>
  <si>
    <t>6110000.00₹</t>
  </si>
  <si>
    <t>2022-06-30</t>
  </si>
  <si>
    <t>Sustainable Development &amp; Climate Action</t>
  </si>
  <si>
    <t>DO/2023-SDCA</t>
  </si>
  <si>
    <t>4750000.00₹</t>
  </si>
  <si>
    <t>2023-10-03</t>
  </si>
  <si>
    <t>KVRC</t>
  </si>
  <si>
    <t>Dr. K. V. Ramachandran Chair for Statist</t>
  </si>
  <si>
    <t>DO/2022-KVRC</t>
  </si>
  <si>
    <t>2023-02-01</t>
  </si>
  <si>
    <t>Nouryon Chemicals India Pvt. Ltd.</t>
  </si>
  <si>
    <t>DO/2024-NCIP</t>
  </si>
  <si>
    <t>2024-06-05</t>
  </si>
  <si>
    <t>Late Bibhuti Ranjan Kundu Memorial Award</t>
  </si>
  <si>
    <t>DO/2024-FTBL</t>
  </si>
  <si>
    <t>150000.00₹</t>
  </si>
  <si>
    <t>2024-04-17</t>
  </si>
  <si>
    <t>CLASS OF 1980 ALUMNI LEGACY PROJECT</t>
  </si>
  <si>
    <t>DO/2003-COLP</t>
  </si>
  <si>
    <t>15100000.00₹</t>
  </si>
  <si>
    <t>LG SOFT INDIA PVT LTD  CSR Activity</t>
  </si>
  <si>
    <t>DO/2021-LSIP</t>
  </si>
  <si>
    <t>2021-05-03</t>
  </si>
  <si>
    <t>LG Soft -New</t>
  </si>
  <si>
    <t>Shabdamitra-a digital aid for language teaching  and learning Indian languages</t>
  </si>
  <si>
    <t>L&amp;T CHAIR PROFESSOR FUND</t>
  </si>
  <si>
    <t>DO/2010-LNTF</t>
  </si>
  <si>
    <t>Larsen and Toubro Infotech Limited</t>
  </si>
  <si>
    <t>DO/2022-LTIL</t>
  </si>
  <si>
    <t>2022-08-24</t>
  </si>
  <si>
    <t>Research &amp; Development via equipment Pro</t>
  </si>
  <si>
    <t>DO/2024-MACD</t>
  </si>
  <si>
    <t>2024-09-30</t>
  </si>
  <si>
    <t>PROF.MADHAV KULKARNI Lt.COL. GOLD MEDAL</t>
  </si>
  <si>
    <t>DO/2014-MKGM</t>
  </si>
  <si>
    <t>MAHA POLLUTION CONTROL BOARD</t>
  </si>
  <si>
    <t>DO/2015-MPCB</t>
  </si>
  <si>
    <t>To conduct innovation projects in the de</t>
  </si>
  <si>
    <t>DO/2023-STRP</t>
  </si>
  <si>
    <t>1875500.00₹</t>
  </si>
  <si>
    <t>2023-12-04</t>
  </si>
  <si>
    <t>IITBHF GRANT 248</t>
  </si>
  <si>
    <t>18600000.00$</t>
  </si>
  <si>
    <t>Infrastructure,R&amp;D</t>
  </si>
  <si>
    <t>RESEARCH HUB GRANT 250</t>
  </si>
  <si>
    <t>DO/2023-RHUB</t>
  </si>
  <si>
    <t>6600000.00$</t>
  </si>
  <si>
    <t>Academic Program,Manpower,Other,R&amp;D</t>
  </si>
  <si>
    <t>Infrastructure Endowment</t>
  </si>
  <si>
    <t>DO/2024-EHUB</t>
  </si>
  <si>
    <t>12000000.00$</t>
  </si>
  <si>
    <t>Microdevice for Early DetectionOfCancer</t>
  </si>
  <si>
    <t>DO/2019-MEDC</t>
  </si>
  <si>
    <t>AI.Tech Media.net Scholarship</t>
  </si>
  <si>
    <t>DO/2023-AITS</t>
  </si>
  <si>
    <t>6029273.00₹</t>
  </si>
  <si>
    <t>Microsoft Research Lab India Pvt. Ltd</t>
  </si>
  <si>
    <t>DO/2024-MSRA</t>
  </si>
  <si>
    <t>2024-06-26</t>
  </si>
  <si>
    <t>M.Tech Fellws for CTARA &amp; EdTech Exp</t>
  </si>
  <si>
    <t>DO/2022-MIAF</t>
  </si>
  <si>
    <t>1750000.00₹</t>
  </si>
  <si>
    <t>Megan Kalochia Fellowship</t>
  </si>
  <si>
    <t>DO/2021-MKFP</t>
  </si>
  <si>
    <t>1063227.00₹</t>
  </si>
  <si>
    <t>1302500000.00₹</t>
  </si>
  <si>
    <t>2024-11-11</t>
  </si>
  <si>
    <t>Healthcare Discovery &amp; Research</t>
  </si>
  <si>
    <t>DO/2023-HDRS</t>
  </si>
  <si>
    <t>250000.00$</t>
  </si>
  <si>
    <t>DO/2024-DFTA</t>
  </si>
  <si>
    <t>2200000.00₹</t>
  </si>
  <si>
    <t>IIT Bombay Strategic Needs</t>
  </si>
  <si>
    <t>DO/2021-IBSN</t>
  </si>
  <si>
    <t>DO/2024-PSAS</t>
  </si>
  <si>
    <t>Award,Scholarship</t>
  </si>
  <si>
    <t>Malini Vyayahare Award</t>
  </si>
  <si>
    <t>DO/2018-MVAD</t>
  </si>
  <si>
    <t>PROF N R KAMATH CHAIR PROFESSORSHIP</t>
  </si>
  <si>
    <t>DO/2015-CPSS</t>
  </si>
  <si>
    <t>JAMSETJI TATA TRUST CORPUS GRANT ( N R K</t>
  </si>
  <si>
    <t>DO/2016-JTTC</t>
  </si>
  <si>
    <t>Kishore Seendripu  Strategic Initiatives</t>
  </si>
  <si>
    <t>DO/2024-SNDR</t>
  </si>
  <si>
    <t>5000000.00$</t>
  </si>
  <si>
    <t>416652750.00$</t>
  </si>
  <si>
    <t>2024-07-12</t>
  </si>
  <si>
    <t>Nandan Mohan Nilekani  Designing Const</t>
  </si>
  <si>
    <t>DO/2023-NADN</t>
  </si>
  <si>
    <t>3150000000.00₹</t>
  </si>
  <si>
    <t>Infrastructure,Other,R&amp;D</t>
  </si>
  <si>
    <t>Shree Narayan Mandira Samiti (SNMS)</t>
  </si>
  <si>
    <t>DO/2023-SNMS</t>
  </si>
  <si>
    <t>1870000.00₹</t>
  </si>
  <si>
    <t>2023-05-03</t>
  </si>
  <si>
    <t>National Peroxide  Procuring the equipm</t>
  </si>
  <si>
    <t>DO/2021-NPLI</t>
  </si>
  <si>
    <t>2021-12-28</t>
  </si>
  <si>
    <t>HSS ANNEX BLDG PROJECT</t>
  </si>
  <si>
    <t>DO/2020-LP93</t>
  </si>
  <si>
    <t>2020-08-20</t>
  </si>
  <si>
    <t>Rajesh Raman Visiting ChairChemical Eng</t>
  </si>
  <si>
    <t>DO/2019-VCPS</t>
  </si>
  <si>
    <t>2019-12-09</t>
  </si>
  <si>
    <t>NITESH THAKOR/ENDOW.FOR EXCELLENCE AWARD</t>
  </si>
  <si>
    <t>DO/2004-EABS</t>
  </si>
  <si>
    <t>313950.00₹</t>
  </si>
  <si>
    <t>Nitori International Scholarship</t>
  </si>
  <si>
    <t>DO/2024-NITR</t>
  </si>
  <si>
    <t>2025-01-22</t>
  </si>
  <si>
    <t>NK Securities Research Private Limited</t>
  </si>
  <si>
    <t>DO/2023-NKSR</t>
  </si>
  <si>
    <t>4200000.00₹</t>
  </si>
  <si>
    <t>420000.00₹</t>
  </si>
  <si>
    <t>Mjr. Bhagat Singh Chair</t>
  </si>
  <si>
    <t>DO/2008-MBSC</t>
  </si>
  <si>
    <t>Oracle Financial Services Software Limit</t>
  </si>
  <si>
    <t>DO/2022-ORFS</t>
  </si>
  <si>
    <t>51100000.00₹</t>
  </si>
  <si>
    <t>Dr. Pramod Chaudhari Alumni Continuing E</t>
  </si>
  <si>
    <t>DO/2021-ACEC</t>
  </si>
  <si>
    <t>DO/2022-SYRM</t>
  </si>
  <si>
    <t>2023-01-13</t>
  </si>
  <si>
    <t>RFID Domain  Perfect ID India Pvt Ltd</t>
  </si>
  <si>
    <t>DO/2023-RFID</t>
  </si>
  <si>
    <t>3264497.00₹</t>
  </si>
  <si>
    <t>Fracture Thoughness for Alloy tool steels</t>
  </si>
  <si>
    <t>DO/2022-PHMC</t>
  </si>
  <si>
    <t>2023-04-05</t>
  </si>
  <si>
    <t>DONATION/PORTESCAPCSR FUNDS</t>
  </si>
  <si>
    <t>DO/2015-PCSR</t>
  </si>
  <si>
    <t>16800000.00₹</t>
  </si>
  <si>
    <t>2018-01-02</t>
  </si>
  <si>
    <t>Portescap CSR project 2020</t>
  </si>
  <si>
    <t>DO/2020-PCSR</t>
  </si>
  <si>
    <t>2020-08-07</t>
  </si>
  <si>
    <t>176000.00$</t>
  </si>
  <si>
    <t>Praj Industries Award for acadmic excell</t>
  </si>
  <si>
    <t>DO/2019-PRAJ</t>
  </si>
  <si>
    <t>2019-07-15</t>
  </si>
  <si>
    <t>PHYSICS DEPT. ( PROF. ASHWIN SESHIA )</t>
  </si>
  <si>
    <t>DO/2014-PDPT</t>
  </si>
  <si>
    <t>3000.00$</t>
  </si>
  <si>
    <t>DO/2022-PSKM</t>
  </si>
  <si>
    <t>17500.00$</t>
  </si>
  <si>
    <t>DHAMDHERE CHAIR AWARD</t>
  </si>
  <si>
    <t>DO/2012-DCAD</t>
  </si>
  <si>
    <t>PROF. K C KHILAR PRIZE EXCL. PhD &amp; MASTE</t>
  </si>
  <si>
    <t>DO/2012-KCKP</t>
  </si>
  <si>
    <t>350000.00₹</t>
  </si>
  <si>
    <t>Awards for M.Tech. Program in Civil Engi</t>
  </si>
  <si>
    <t>DO/2022-RAGH</t>
  </si>
  <si>
    <t>2022-08-03</t>
  </si>
  <si>
    <t>Scholarship IIT Campus School</t>
  </si>
  <si>
    <t>DO/2022-NSPS</t>
  </si>
  <si>
    <t>Teach. Award Memory of Prof Sahasrabudhe</t>
  </si>
  <si>
    <t>DO/2019-SMTA</t>
  </si>
  <si>
    <t>55000.00$</t>
  </si>
  <si>
    <t>2020-02-20</t>
  </si>
  <si>
    <t>DO/2022-SPSS</t>
  </si>
  <si>
    <t>T.R.R. Mohan Chair</t>
  </si>
  <si>
    <t>DO/2021-TRRM</t>
  </si>
  <si>
    <t>END/CHAIR PROFESSOR FOR PROF.TARUN KANT</t>
  </si>
  <si>
    <t>DO/2019-CPTK</t>
  </si>
  <si>
    <t>11500000.00₹</t>
  </si>
  <si>
    <t>2019-03-12</t>
  </si>
  <si>
    <t>Donation to Support Two Awards for Sutd</t>
  </si>
  <si>
    <t>DO/2023-DSSA</t>
  </si>
  <si>
    <t>2023-12-19</t>
  </si>
  <si>
    <t>Dr P K Patwardhan technology development</t>
  </si>
  <si>
    <t>DO/2022-PKPT</t>
  </si>
  <si>
    <t>2023-01-12</t>
  </si>
  <si>
    <t>Project Evergreen (Hostel 7821 Reconst</t>
  </si>
  <si>
    <t>DO/2021-HSPE</t>
  </si>
  <si>
    <t>1700000000.00₹</t>
  </si>
  <si>
    <t>2022-03-21</t>
  </si>
  <si>
    <t>Research and Development and Lab Infrast</t>
  </si>
  <si>
    <t>DO/2022-PROL</t>
  </si>
  <si>
    <t>1018093.00₹</t>
  </si>
  <si>
    <t>EDU/ACD &amp; SCI RESEARCH</t>
  </si>
  <si>
    <t>DO/2018-PEAS</t>
  </si>
  <si>
    <t>6200000.00₹</t>
  </si>
  <si>
    <t>2018-12-06</t>
  </si>
  <si>
    <t>Grauer &amp; Weil (India) Ltd./Growel India</t>
  </si>
  <si>
    <t>DO/2024-GRWL</t>
  </si>
  <si>
    <t>2024-07-02</t>
  </si>
  <si>
    <t>RAKESH MATHUR ACADEMIC EXCELLENCE AWARDS</t>
  </si>
  <si>
    <t>DO/2000-RMAC</t>
  </si>
  <si>
    <t>41000.00$</t>
  </si>
  <si>
    <t>7291510.00$</t>
  </si>
  <si>
    <t>2018-01-30</t>
  </si>
  <si>
    <t>DO/2005-RMAE</t>
  </si>
  <si>
    <t>RASIKLAL HEMANI ENDOWMENT LAB &amp; CHAIR</t>
  </si>
  <si>
    <t>DO/2018-CHLC</t>
  </si>
  <si>
    <t>2018-04-17</t>
  </si>
  <si>
    <t>Ravish Tiwari Scholarship for excellence</t>
  </si>
  <si>
    <t>DO/2022-RTSE</t>
  </si>
  <si>
    <t>5772000.00₹</t>
  </si>
  <si>
    <t>2023-02-24</t>
  </si>
  <si>
    <t>DO/2021-GOOG</t>
  </si>
  <si>
    <t>Renuka Mathur Scholarship Endowment Arp</t>
  </si>
  <si>
    <t>DO/2022-AMSH</t>
  </si>
  <si>
    <t>2023-01-25</t>
  </si>
  <si>
    <t>Prof. Rinti Banerjee Chair in Translatio</t>
  </si>
  <si>
    <t>DO/2021-RBCT</t>
  </si>
  <si>
    <t>2021-10-26</t>
  </si>
  <si>
    <t>Research Projects on Pavements</t>
  </si>
  <si>
    <t>DO/2022-ROAD</t>
  </si>
  <si>
    <t>28545000.00₹</t>
  </si>
  <si>
    <t>ROUND MEMORIAL SCHOLARSHIP ( CLASS OF 19</t>
  </si>
  <si>
    <t>DO/2014-RMSS</t>
  </si>
  <si>
    <t>1669000.00₹</t>
  </si>
  <si>
    <t>PROF. R. P. SINGH MEMORIAL PRIZE</t>
  </si>
  <si>
    <t>DO/2009-RSMP</t>
  </si>
  <si>
    <t>20000.00₹</t>
  </si>
  <si>
    <t>95000.00₹</t>
  </si>
  <si>
    <t>UG Scholarship</t>
  </si>
  <si>
    <t>DO/2024-RXOS</t>
  </si>
  <si>
    <t>1140000.00₹</t>
  </si>
  <si>
    <t>2024-09-12</t>
  </si>
  <si>
    <t>Research Award for a breakthrough Resear</t>
  </si>
  <si>
    <t>DO/2024-MEHN</t>
  </si>
  <si>
    <t>2024-12-02</t>
  </si>
  <si>
    <t>PROF.S.N.SINHA MEMORIAL AWARD/MEMS DEPT</t>
  </si>
  <si>
    <t>DO/2017-SSMA</t>
  </si>
  <si>
    <t>Mr. S. M. Shah Trust Scholarship</t>
  </si>
  <si>
    <t>DO/2020-SMST</t>
  </si>
  <si>
    <t>2020-12-15</t>
  </si>
  <si>
    <t>High Rate Electrochemical Co2 Conversion</t>
  </si>
  <si>
    <t>DO/2023-SAJJ</t>
  </si>
  <si>
    <t>4095000.00₹</t>
  </si>
  <si>
    <t>2023-12-22</t>
  </si>
  <si>
    <t>330000.00₹</t>
  </si>
  <si>
    <t>Chemicals from feedstock material</t>
  </si>
  <si>
    <t>5905500.00₹</t>
  </si>
  <si>
    <t>2570000.00₹</t>
  </si>
  <si>
    <t>CSR/SAP LABS INDIA PVT.LTD.</t>
  </si>
  <si>
    <t>DO/2014-CSRL</t>
  </si>
  <si>
    <t>6300000.00₹</t>
  </si>
  <si>
    <t>DO/2023-SBIF</t>
  </si>
  <si>
    <t>225000000.00₹</t>
  </si>
  <si>
    <t>Helping caz of env in sustainable energy</t>
  </si>
  <si>
    <t>DO/2019-SEEE</t>
  </si>
  <si>
    <t>2019-10-03</t>
  </si>
  <si>
    <t>Direct air capture and subsequent CO2 co</t>
  </si>
  <si>
    <t>DO/2022-DACS</t>
  </si>
  <si>
    <t>4070000.00₹</t>
  </si>
  <si>
    <t>DO/2019-SB92</t>
  </si>
  <si>
    <t>5400000.00₹</t>
  </si>
  <si>
    <t>2020-02-11</t>
  </si>
  <si>
    <t>DO/2022-LTTS</t>
  </si>
  <si>
    <t>LATE SHRI GIRISH VISHNUPRASAD DESAI AWAR</t>
  </si>
  <si>
    <t>DO/2016-GVDA</t>
  </si>
  <si>
    <t>3500000.00₹</t>
  </si>
  <si>
    <t>Research Project: WBG Power Electronics</t>
  </si>
  <si>
    <t>DO/2024-LALT</t>
  </si>
  <si>
    <t>DO/2025-SKSA</t>
  </si>
  <si>
    <t>230000.00$</t>
  </si>
  <si>
    <t>Award,Fellowship</t>
  </si>
  <si>
    <t>SHAPOORJI PALLONJI RISING STAR</t>
  </si>
  <si>
    <t>DO/2015-SPRS</t>
  </si>
  <si>
    <t>SHASWAT PANDA MEMORIAL LECTURE</t>
  </si>
  <si>
    <t>DO/2019-SPML</t>
  </si>
  <si>
    <t>2019-03-07</t>
  </si>
  <si>
    <t>DO/2024-SNPF</t>
  </si>
  <si>
    <t>RAM KUMAR GUPTA MERIT AWARD</t>
  </si>
  <si>
    <t>DO/2016-RKGM</t>
  </si>
  <si>
    <t>2018-09-06</t>
  </si>
  <si>
    <t>SHRI.RAM KUMAR GUPTA MERIT AWARD</t>
  </si>
  <si>
    <t>DO/2016-RKMA</t>
  </si>
  <si>
    <t>SHRIMATI PRAKASHVATI DEVI GUPTA MERIT AW</t>
  </si>
  <si>
    <t>DO/2014-PDMA</t>
  </si>
  <si>
    <t>SILICON VALLEY COMM.FOUNDATION/ UNIV OF</t>
  </si>
  <si>
    <t>DO/2018-SVCF</t>
  </si>
  <si>
    <t>1750000.00$</t>
  </si>
  <si>
    <t>2018-09-28</t>
  </si>
  <si>
    <t>Shri ANIL KUSHALCHAND HIRANI AWARD for s</t>
  </si>
  <si>
    <t>DO/2022-SKFF</t>
  </si>
  <si>
    <t>5800000.00₹</t>
  </si>
  <si>
    <t>2022-09-12</t>
  </si>
  <si>
    <t>SKFF India Pvt. Ltd.  Research &amp; Develo</t>
  </si>
  <si>
    <t>DO/2023-SKFR</t>
  </si>
  <si>
    <t>3650000.00₹</t>
  </si>
  <si>
    <t>Linkages for rural farmers, artisans and entrepreneurs</t>
  </si>
  <si>
    <t>352000.00₹</t>
  </si>
  <si>
    <t>Suporting Rural Farmers Through Marketmi</t>
  </si>
  <si>
    <t>DO/2022-SSIP</t>
  </si>
  <si>
    <t>2022-10-31</t>
  </si>
  <si>
    <t>mt. Vidya Sharma - Chair Professorship in  Electrical  Engineering ( Jitendra Mohan &amp; Swapna Samant )</t>
  </si>
  <si>
    <t>DO/2024-EECP</t>
  </si>
  <si>
    <t>Ramesh VulavalAward for 2 PHD Girls in</t>
  </si>
  <si>
    <t>DO/2022-RVGC</t>
  </si>
  <si>
    <t>Space Tech Lab</t>
  </si>
  <si>
    <t>DO/2024-STRS</t>
  </si>
  <si>
    <t>52200000.00₹</t>
  </si>
  <si>
    <t>Lab &amp; Equipment,R&amp;D</t>
  </si>
  <si>
    <t>2024-11-06</t>
  </si>
  <si>
    <t xml:space="preserve">Sunita Sanghi Centre </t>
  </si>
  <si>
    <t>DO/2021-SSAN</t>
  </si>
  <si>
    <t>Infrastructure,Lab &amp; Equipment,R&amp;D</t>
  </si>
  <si>
    <t>Low cost and energy efficient water distribution</t>
  </si>
  <si>
    <t>DO/2022-STEM</t>
  </si>
  <si>
    <t>7059180.00₹</t>
  </si>
  <si>
    <t>2022-10-03</t>
  </si>
  <si>
    <t>Scaleup of Biodegadable plastic made up</t>
  </si>
  <si>
    <t>DO/2021-SUBP</t>
  </si>
  <si>
    <t>6050000.00₹</t>
  </si>
  <si>
    <t>SUEZ WATER TECHNOLOGY MTECH SCHOLARSHIP</t>
  </si>
  <si>
    <t>DO/2021-SUEZ</t>
  </si>
  <si>
    <t>2022-06-24</t>
  </si>
  <si>
    <t>Makers Space project</t>
  </si>
  <si>
    <t>Synopsys Semiconductor lab for Virtual F</t>
  </si>
  <si>
    <t>DO/2023-SYNO</t>
  </si>
  <si>
    <t>390000.00$</t>
  </si>
  <si>
    <t>Conducting R &amp; D Project in 3 Purpose: C</t>
  </si>
  <si>
    <t>7000000.00₹</t>
  </si>
  <si>
    <t>BETIC R&amp;D project</t>
  </si>
  <si>
    <t>DO/2021-RDPJ</t>
  </si>
  <si>
    <t>60000000.00₹</t>
  </si>
  <si>
    <t>TATA MAIN GRANT</t>
  </si>
  <si>
    <t>DO/2013-TATAGRT</t>
  </si>
  <si>
    <t>942000000.00₹</t>
  </si>
  <si>
    <t>2017-12-16</t>
  </si>
  <si>
    <t>TCE R&amp;D</t>
  </si>
  <si>
    <t>6800000.00₹</t>
  </si>
  <si>
    <t>Endowment WBS for TechnoCraft Center for</t>
  </si>
  <si>
    <t>DO/2021-ETCA</t>
  </si>
  <si>
    <t>80000000.00₹</t>
  </si>
  <si>
    <t>2022-04-08</t>
  </si>
  <si>
    <t>Technocraft Centre for Applied Artificial Intelligence</t>
  </si>
  <si>
    <t>DO/2021-TCA21</t>
  </si>
  <si>
    <t>2021-02-26</t>
  </si>
  <si>
    <t>TATA CENTRE CHAIR PROFESSORSHIP</t>
  </si>
  <si>
    <t>DO/2015-TCCP</t>
  </si>
  <si>
    <t>TCE Project</t>
  </si>
  <si>
    <t>Tata Consulting Engineering</t>
  </si>
  <si>
    <t>DO/2022-TFCH</t>
  </si>
  <si>
    <t>2023-03-25</t>
  </si>
  <si>
    <t>DO/2021-WSSS</t>
  </si>
  <si>
    <t>The Neel and Raa Foundation</t>
  </si>
  <si>
    <t>DO/2023-NRFD</t>
  </si>
  <si>
    <t>2023-12-28</t>
  </si>
  <si>
    <t>Tinkerers lab in Chemical Deptt.</t>
  </si>
  <si>
    <t>DO/2021-CTIN</t>
  </si>
  <si>
    <t>2021-10-21</t>
  </si>
  <si>
    <t>Toos Daruvala</t>
  </si>
  <si>
    <t>DO/2017-TAHD</t>
  </si>
  <si>
    <t>102218687.00₹</t>
  </si>
  <si>
    <t>Scientific Research (TRCIPL)</t>
  </si>
  <si>
    <t>DO/2023-TRCI</t>
  </si>
  <si>
    <t>44496800.00₹</t>
  </si>
  <si>
    <t>TOWER INDIA SCHOLARSHIP</t>
  </si>
  <si>
    <t>DO/2018-TISC</t>
  </si>
  <si>
    <t>DO/2025-PRZM</t>
  </si>
  <si>
    <t>2025-08-11</t>
  </si>
  <si>
    <t>PROF. PANCHAPAKESAN PRIZE TO OUTSTANDIN</t>
  </si>
  <si>
    <t>DO/2002-PTOS</t>
  </si>
  <si>
    <t>30000.00₹</t>
  </si>
  <si>
    <t>Decoding the enduring performance of tra</t>
  </si>
  <si>
    <t>DO/2023-VRTV</t>
  </si>
  <si>
    <t>6047800.00₹</t>
  </si>
  <si>
    <t>DO/2025-VKMS</t>
  </si>
  <si>
    <t>2025-07-08</t>
  </si>
  <si>
    <t>Vijay Vashee Climate Change Fellowship A</t>
  </si>
  <si>
    <t>DO/2024-VCCF</t>
  </si>
  <si>
    <t>10.00$</t>
  </si>
  <si>
    <t>VILAS KARNIK FUNDS</t>
  </si>
  <si>
    <t>DO/2018-VKGF</t>
  </si>
  <si>
    <t>1900000.00₹</t>
  </si>
  <si>
    <t>2018-03-05</t>
  </si>
  <si>
    <t>DO/2024-WARE</t>
  </si>
  <si>
    <t>19910000.00₹</t>
  </si>
  <si>
    <t>2025-01-30</t>
  </si>
  <si>
    <t>Wacker Metroark Chemicals Pvt. Ltd.</t>
  </si>
  <si>
    <t>DO/2020-WMCH</t>
  </si>
  <si>
    <t>15620000.00₹</t>
  </si>
  <si>
    <t>2020-09-25</t>
  </si>
  <si>
    <t>Silane directed immobilization of cobalt-based molecular catalysts on  silica gel for solar-driven H2 evolution from neutral water</t>
  </si>
  <si>
    <t>6483400.00₹</t>
  </si>
  <si>
    <t>WADHAWANI ELECTRONICS LAB</t>
  </si>
  <si>
    <t>DO/2015-WEL</t>
  </si>
  <si>
    <t>500000.00$</t>
  </si>
  <si>
    <t>2018-01-24</t>
  </si>
  <si>
    <t>WESTINGHOUSE IITB NUCLEAR ENGG. LECTURE</t>
  </si>
  <si>
    <t>DO/2010-WHNR</t>
  </si>
  <si>
    <t>Wheels Global Foundation</t>
  </si>
  <si>
    <t>DO/2023-WHGL</t>
  </si>
  <si>
    <t>30000.00$</t>
  </si>
  <si>
    <t>2024-01-11</t>
  </si>
  <si>
    <t>Development of Teaching material for inc</t>
  </si>
  <si>
    <t>DO/2022-WIPR</t>
  </si>
  <si>
    <t>1884000.00₹</t>
  </si>
  <si>
    <t>Prof. Yasodha Apte Research Award</t>
  </si>
  <si>
    <t>DO/2021-YARA</t>
  </si>
  <si>
    <t>7448700.00₹</t>
  </si>
  <si>
    <t>2021-07-28</t>
  </si>
  <si>
    <t>Yogen Dalal Chair</t>
  </si>
  <si>
    <t>DO/2022-YDCH</t>
  </si>
  <si>
    <t>5 UG Student Scholarship  Ajay Gupta</t>
  </si>
  <si>
    <t>DO/2021-AGSC</t>
  </si>
  <si>
    <t>2805000.00₹</t>
  </si>
  <si>
    <t>1988 LEGACY PROJECT STUDENT SCHOLARSHIP</t>
  </si>
  <si>
    <t>DO/2016-LPSS</t>
  </si>
  <si>
    <t>5715338.00₹</t>
  </si>
  <si>
    <t>5715338.55₹</t>
  </si>
  <si>
    <t>CIVIL ENGINEERING STUDENTS ACTIVITY FUND</t>
  </si>
  <si>
    <t>DO/2000-CESA</t>
  </si>
  <si>
    <t>FACULTY DEVELOPMENT FUND</t>
  </si>
  <si>
    <t>DO/2000-FDFE</t>
  </si>
  <si>
    <t>Dr. Kishore M.Kulkarni Scholarship/Mech.</t>
  </si>
  <si>
    <t>DO/2000-KMKS</t>
  </si>
  <si>
    <t>PROF. K.SHANKAR MEMORIAL FUND</t>
  </si>
  <si>
    <t>DO/2000-KSMF</t>
  </si>
  <si>
    <t>CLASS OF74</t>
  </si>
  <si>
    <t>DO/2000-LP74</t>
  </si>
  <si>
    <t>Donation Pool Account</t>
  </si>
  <si>
    <t>DO/2000-POOL</t>
  </si>
  <si>
    <t>2018-05-12</t>
  </si>
  <si>
    <t>PROF. SUHAS P.SUKHATME ENDOWMENT FUND</t>
  </si>
  <si>
    <t>DO/2000-SSEF</t>
  </si>
  <si>
    <t>TATA CONSULTANCY SERVICES/ ELECT. ENGG.</t>
  </si>
  <si>
    <t>DO/2000-TCNS</t>
  </si>
  <si>
    <t>ASME DESIGNING CONTEST</t>
  </si>
  <si>
    <t>DO/2001-ADCT</t>
  </si>
  <si>
    <t>/A.V.ABHYANKAR DONATION FOR CAMPUS SCHOO</t>
  </si>
  <si>
    <t>DO/2001-AVAD</t>
  </si>
  <si>
    <t>IITBHF/KRESIT A/C</t>
  </si>
  <si>
    <t>DO/2001-BHFK</t>
  </si>
  <si>
    <t>DEPT. OF CIVIL ENGG.  CORPUS FUND</t>
  </si>
  <si>
    <t>DO/2001-CECF</t>
  </si>
  <si>
    <t>EQP/CHEMISTRY</t>
  </si>
  <si>
    <t>DO/2001-CEQP</t>
  </si>
  <si>
    <t>CLASS OF 74TRAVEL GRANT FOR RESEARCH ST</t>
  </si>
  <si>
    <t>DO/2001-COTG</t>
  </si>
  <si>
    <t>EXCELLENCE IN TEACHING  ENDOWMENT</t>
  </si>
  <si>
    <t>DO/2001-EITE</t>
  </si>
  <si>
    <t>GAUTAM ADVANI SCHOLARSHIP</t>
  </si>
  <si>
    <t>DO/2001-GASS</t>
  </si>
  <si>
    <t>GIRISH GAITONDE FOR LECTURE HALL</t>
  </si>
  <si>
    <t>DO/2001-GGLH</t>
  </si>
  <si>
    <t>HOSTEL MAINTENANCE/ENDOWMENT</t>
  </si>
  <si>
    <t>DO/2001-HMNT</t>
  </si>
  <si>
    <t>INFORMATIC/COMPUTER SC. &amp; ENGG.</t>
  </si>
  <si>
    <t>DO/2001-ICPS</t>
  </si>
  <si>
    <t>INSTITUTE DEVELOPMENT FUND</t>
  </si>
  <si>
    <t>DO/2001-IDPF</t>
  </si>
  <si>
    <t>KRESIT LIBRARY FUND</t>
  </si>
  <si>
    <t>DO/2001-KLFD</t>
  </si>
  <si>
    <t>Class of 1988 Legacy Project</t>
  </si>
  <si>
    <t>DO/2001-LP88</t>
  </si>
  <si>
    <t>Class of 1989 Legacy Project</t>
  </si>
  <si>
    <t>DO/2001-LP89</t>
  </si>
  <si>
    <t>2018-02-28</t>
  </si>
  <si>
    <t>Class of 1990 Legacy Project</t>
  </si>
  <si>
    <t>DO/2001-LP90</t>
  </si>
  <si>
    <t>NANDAN NILEKANI</t>
  </si>
  <si>
    <t>DO/2001-NDNI</t>
  </si>
  <si>
    <t>8 NAMED ENDOWDED SCHOLARSHIP</t>
  </si>
  <si>
    <t>DO/2001-NESS</t>
  </si>
  <si>
    <t>NOORALI SOONAWALA CAFETERIA</t>
  </si>
  <si>
    <t>DO/2001-NSWC</t>
  </si>
  <si>
    <t>DR. P.K.PATWARDHAN TECHNOLOGY DEVELOPMEN</t>
  </si>
  <si>
    <t>DO/2001-PPTD</t>
  </si>
  <si>
    <t>RAGHVENDRA JAMBAGI MEMORIAL AWARD</t>
  </si>
  <si>
    <t>DO/2001-RJMA</t>
  </si>
  <si>
    <t>S.J.PATEL MEMORIAL SCHOLARSHIP</t>
  </si>
  <si>
    <t>DO/2001-SJPM</t>
  </si>
  <si>
    <t>SAILESH J.MEHTA ENDOWMENT FOR SOM</t>
  </si>
  <si>
    <t>DO/2001-SOME</t>
  </si>
  <si>
    <t>TEXTILE MACHINERY/RD</t>
  </si>
  <si>
    <t>DO/2001-TMCY</t>
  </si>
  <si>
    <t>VAISHNO MALHOTRA/SCHOLARSHIP</t>
  </si>
  <si>
    <t>DO/2001-VMSS</t>
  </si>
  <si>
    <t>DONATION FOR CLASS OF 75YMKHANA CUM CULT</t>
  </si>
  <si>
    <t>DO/2002-COGC</t>
  </si>
  <si>
    <t>IIT CAMPUS SCHOOL/OUTSTANDING ARTISTIC T</t>
  </si>
  <si>
    <t>DO/2002-CSOT</t>
  </si>
  <si>
    <t>CIVIL ENGINEERING</t>
  </si>
  <si>
    <t>DO/2002-CVLE</t>
  </si>
  <si>
    <t>DONATION FOR INFRASTRUCTURE</t>
  </si>
  <si>
    <t>DO/2002-DFIS</t>
  </si>
  <si>
    <t>DEP INFRASTRUCTURE &amp; SERVICES</t>
  </si>
  <si>
    <t>DO/2002-DIFS</t>
  </si>
  <si>
    <t>CHEMICAL ENGG. DEPT. SEMINAR HALL IMPROV</t>
  </si>
  <si>
    <t>DO/2002-DSHI</t>
  </si>
  <si>
    <t>GE FUND SCHOLARSHIP /CHEMICAL ENGG.</t>
  </si>
  <si>
    <t>DO/2002-GEFD</t>
  </si>
  <si>
    <t>V.G.GADGIL MEMORIAL SCHOLARSHIP/AERO. EN</t>
  </si>
  <si>
    <t>DO/2002-GMSS</t>
  </si>
  <si>
    <t>HOSTEL 3</t>
  </si>
  <si>
    <t>DO/2002-HSTL</t>
  </si>
  <si>
    <t>HUMAN VALUE CELL  DHRUPAD SANSAR</t>
  </si>
  <si>
    <t>DO/2002-HVCL</t>
  </si>
  <si>
    <t>ENDOWMENT FOR JAYATI DESHMUKH GOLD MEDAL</t>
  </si>
  <si>
    <t>DO/2002-JDGM</t>
  </si>
  <si>
    <t>LIBRARY ENDOWMENT</t>
  </si>
  <si>
    <t>DO/2002-LBET</t>
  </si>
  <si>
    <t>MISYS CHARITABLE FOUNDATION</t>
  </si>
  <si>
    <t>DO/2002-MCFN</t>
  </si>
  <si>
    <t>ME BATCH OF 95 FUND</t>
  </si>
  <si>
    <t>DO/2002-MEBF</t>
  </si>
  <si>
    <t>MAPIN INDUSTRIAL COMPANY</t>
  </si>
  <si>
    <t>DO/2002-MINC</t>
  </si>
  <si>
    <t>M/S.PFIZER LTD ENDOWMENT SCHOLARSHIP</t>
  </si>
  <si>
    <t>DO/2002-PTES</t>
  </si>
  <si>
    <t>RUYINTAN E &amp; MONICA R MEHTA FAMILY FOUND</t>
  </si>
  <si>
    <t>DO/2002-RMMF</t>
  </si>
  <si>
    <t>STUDENTS ACTIVITY/NET SOFTWARE &amp; C PROG</t>
  </si>
  <si>
    <t>DO/2002-SASC</t>
  </si>
  <si>
    <t>ALUMNI OF BATCH OF 2001 / SJMSOM</t>
  </si>
  <si>
    <t>DO/2002-SOMB</t>
  </si>
  <si>
    <t>UPGRADATION OF TEACHING &amp; RESEARCH FACIL</t>
  </si>
  <si>
    <t>DO/2002-UTRF</t>
  </si>
  <si>
    <t>14TH AIMTDR CONFERENCE BOMBAY/RESEARCH M</t>
  </si>
  <si>
    <t>DO/2003-ACBR</t>
  </si>
  <si>
    <t>M/S.ADANI EXPORTS LTD./PRIZE</t>
  </si>
  <si>
    <t>DO/2003-AELP</t>
  </si>
  <si>
    <t>VIDYADHAR A. KAMATH/AWARD FOR NONTEACHI</t>
  </si>
  <si>
    <t>DO/2003-ANTS</t>
  </si>
  <si>
    <t>AEROSPACE ENGG. DEPTT.</t>
  </si>
  <si>
    <t>DO/2003-ARSE</t>
  </si>
  <si>
    <t>AMIT SINHA FOR INSIGHT AWARD</t>
  </si>
  <si>
    <t>DO/2003-ASFA</t>
  </si>
  <si>
    <t>ABRAHAM THOMAS/FOR SCHOLARSHIP AND FOR H</t>
  </si>
  <si>
    <t>DO/2003-ATHS</t>
  </si>
  <si>
    <t>BEST SWIMMER OF THE YEAR PRIZE</t>
  </si>
  <si>
    <t>DO/2003-BSPE</t>
  </si>
  <si>
    <t>CHEMICAL ENGG.DEPT. BHASMA PROJECT</t>
  </si>
  <si>
    <t>DO/2003-CEBP</t>
  </si>
  <si>
    <t>CHEMICAL ENGG.DEPT.</t>
  </si>
  <si>
    <t>DO/2003-CMED</t>
  </si>
  <si>
    <t>NCCDS05 (CONFERENCE OF SYSTEMS&amp;CONTROL E</t>
  </si>
  <si>
    <t>DO/2003-COSC</t>
  </si>
  <si>
    <t>CLASS OF 70/SCHOLARSHIP</t>
  </si>
  <si>
    <t>DO/2003-COSH</t>
  </si>
  <si>
    <t>ICICI LTD.CHAIR PROFESSORSHIP &amp; SCHOLAR</t>
  </si>
  <si>
    <t>DO/2003-CPSH</t>
  </si>
  <si>
    <t>CSE DEPARTMENT</t>
  </si>
  <si>
    <t>DO/2003-CSED</t>
  </si>
  <si>
    <t>CLASS OF 78 FUND</t>
  </si>
  <si>
    <t>DO/2003-CSOF</t>
  </si>
  <si>
    <t>ENDOW.FOR 2 PRIZES/LATE SMT.SUSHEELA S.</t>
  </si>
  <si>
    <t>DO/2003-CSPE</t>
  </si>
  <si>
    <t>MICROSOFT/COMPUTER VISION ACTIVITIES</t>
  </si>
  <si>
    <t>DO/2003-CVAS</t>
  </si>
  <si>
    <t>DR. BUJOR GODREJ SCHOLARSHIP IN DEPT. OF</t>
  </si>
  <si>
    <t>DO/2003-DBGS</t>
  </si>
  <si>
    <t>DADY BURJOR SCHOLARSHIP</t>
  </si>
  <si>
    <t>DO/2003-DBSH</t>
  </si>
  <si>
    <t>DENESH MEDH MEMORIAL PRIZE</t>
  </si>
  <si>
    <t>DO/2003-DMMP</t>
  </si>
  <si>
    <t>2018-03-14</t>
  </si>
  <si>
    <t>DEPT. OF MECHANICAL ENGG.</t>
  </si>
  <si>
    <t>DO/2003-DOME</t>
  </si>
  <si>
    <t>MR.DEEPAK SABNIS/PROF.K.SHANKAR SCHOLARS</t>
  </si>
  <si>
    <t>DO/2003-DSKS</t>
  </si>
  <si>
    <t>ELECT.ENGG.DEPARTMENT</t>
  </si>
  <si>
    <t>DO/2003-EEDP</t>
  </si>
  <si>
    <t>ENDOWMENT FUND FOR SPANN LAB IN ELECT. E</t>
  </si>
  <si>
    <t>DO/2003-EEFE</t>
  </si>
  <si>
    <t>EMSI2002 FUND FOR TRAVEL GRANT TO ATTEN</t>
  </si>
  <si>
    <t>DO/2003-EMSI</t>
  </si>
  <si>
    <t>CLASS OF 77 (FACULTY HOUSING)</t>
  </si>
  <si>
    <t>DO/2003-FLHC</t>
  </si>
  <si>
    <t>PROF. L.R. GADRE WIRELESS LAB</t>
  </si>
  <si>
    <t>DO/2003-GWLB</t>
  </si>
  <si>
    <t>M/S.HINDUSTAN LEVER LTD. ENDOWMENT FOR S</t>
  </si>
  <si>
    <t>DO/2003-HLET</t>
  </si>
  <si>
    <t>HOSTEL RENOVATION FUND</t>
  </si>
  <si>
    <t>DO/2003-HLRF</t>
  </si>
  <si>
    <t>CLASS OF 72/ENDOWMENT FOR HOSTEL MAINTEN</t>
  </si>
  <si>
    <t>DO/2003-HMGE</t>
  </si>
  <si>
    <t>INTEL ASIA ELECTRONICS EQP PROCURED FOR</t>
  </si>
  <si>
    <t>DO/2003-IAEN</t>
  </si>
  <si>
    <t>IBM GLOBAL SERVICES INDIA PVT.LTD(FOR CS</t>
  </si>
  <si>
    <t>DO/2003-IBMG</t>
  </si>
  <si>
    <t>IASLI CONFERENCE (CENT.LIB.)</t>
  </si>
  <si>
    <t>DO/2003-ICCL</t>
  </si>
  <si>
    <t>INTERNATIONAL ENERGY INITIATIVE (IEI)</t>
  </si>
  <si>
    <t>DO/2003-IEIE</t>
  </si>
  <si>
    <t>INFOSYS PH.D. FELLOWSHIP FOR KRESIT</t>
  </si>
  <si>
    <t>DO/2003-IFFK</t>
  </si>
  <si>
    <t>IBM GLOBAL SERVICES INDIA LTD(FOR KRESIT</t>
  </si>
  <si>
    <t>DO/2003-IGSI</t>
  </si>
  <si>
    <t>IDEAS LAB AEROSPACE ENGINEERING</t>
  </si>
  <si>
    <t>DO/2003-ILAE</t>
  </si>
  <si>
    <t>INDIAN SOCIETY OF INDUSTRIAL TRIBOLOGY/S</t>
  </si>
  <si>
    <t>DO/2003-ISIT</t>
  </si>
  <si>
    <t>INDIAN WOMENS ASSOCIATION BONN/SCHOLARSH</t>
  </si>
  <si>
    <t>DO/2003-IWAB</t>
  </si>
  <si>
    <t>MR.KAMLESH N. MORARJI &amp; MR.DHIRENDRA N.</t>
  </si>
  <si>
    <t>DO/2003-KMDM</t>
  </si>
  <si>
    <t>KANITKAR MERIT SCHOLARSHIP(1)  SCHOLARS</t>
  </si>
  <si>
    <t>DO/2003-KMSH</t>
  </si>
  <si>
    <t>KRESIT SCHOOL LIBRARY</t>
  </si>
  <si>
    <t>DO/2003-KSCL</t>
  </si>
  <si>
    <t>CLASS OF 76</t>
  </si>
  <si>
    <t>DO/2003-LP76</t>
  </si>
  <si>
    <t>METALLURGICAL ENGG.DEPARTMENT</t>
  </si>
  <si>
    <t>DO/2003-MEED</t>
  </si>
  <si>
    <t>DR.R.MALLIKARJUNA SHASTRY/KUM.AKHILA RUP</t>
  </si>
  <si>
    <t>DO/2003-MEMS</t>
  </si>
  <si>
    <t>IITDELHI  MNES FELLOWSHIP IN ENERGY S</t>
  </si>
  <si>
    <t>DO/2003-MFLS</t>
  </si>
  <si>
    <t>MR.M.K.MAHAPATRA/SCHOLARSHIP</t>
  </si>
  <si>
    <t>DO/2003-MKMS</t>
  </si>
  <si>
    <t>Prof. Mohan M.Kulkarni Scholarship/Aero.</t>
  </si>
  <si>
    <t>DO/2003-MMKS</t>
  </si>
  <si>
    <t>PRABHAKAR D. MAHAJAN SCHOLARSHIP</t>
  </si>
  <si>
    <t>DO/2003-MSHE</t>
  </si>
  <si>
    <t>MICROSOFTSTUDENTS INTERNATIONAL TRAVEL</t>
  </si>
  <si>
    <t>DO/2003-MSIT</t>
  </si>
  <si>
    <t>MATHEMATICS DEPARTMENT</t>
  </si>
  <si>
    <t>DO/2003-MTDP</t>
  </si>
  <si>
    <t>NANI A.PHALKIWALA SCHOLARSHIP</t>
  </si>
  <si>
    <t>DO/2003-NAPS</t>
  </si>
  <si>
    <t>PDF / NANDAN NILEKANI ENDOWMENT</t>
  </si>
  <si>
    <t>DO/2003-NNET</t>
  </si>
  <si>
    <t>NATIONAL WORKSHOP ON INSTITUTE WORKS IIT</t>
  </si>
  <si>
    <t>DO/2003-NWSP</t>
  </si>
  <si>
    <t>P.C. SAXENA AUDITORIUM</t>
  </si>
  <si>
    <t>DO/2003-PCSA</t>
  </si>
  <si>
    <t>MR.VIJAY C. GANDHI/PRIZE FOR PHYSICS AND</t>
  </si>
  <si>
    <t>DO/2003-PFPE</t>
  </si>
  <si>
    <t>PHARMA BIOTECH</t>
  </si>
  <si>
    <t>DO/2003-PHBT</t>
  </si>
  <si>
    <t>MR.UDAY MAHAJAN/IN THE MEMORY OF LATE PR</t>
  </si>
  <si>
    <t>DO/2003-PLMF</t>
  </si>
  <si>
    <t>RAJ MASHRUWALA</t>
  </si>
  <si>
    <t>DO/2003-RMRL</t>
  </si>
  <si>
    <t>RESEARCHPROPO FOR DEVEL.OF LIFE SAVING</t>
  </si>
  <si>
    <t>DO/2003-RPFD</t>
  </si>
  <si>
    <t>RAJESH RADHAKRISHNAN SCHOLARSHIP</t>
  </si>
  <si>
    <t>DO/2003-RSCH</t>
  </si>
  <si>
    <t>TO SUPPORT ACTIVITIES OF KRESIT</t>
  </si>
  <si>
    <t>DO/2003-SAOK</t>
  </si>
  <si>
    <t>MR.HUSSAIN BHATIA/ABBAS BHATIA/JOHN A MA</t>
  </si>
  <si>
    <t>DO/2003-SCHE</t>
  </si>
  <si>
    <t>ORGANIZING SECRETARY ICF5/3 SCHOLARSHIP</t>
  </si>
  <si>
    <t>DO/2003-SHIM</t>
  </si>
  <si>
    <t>SUHAS KAKDEPRIZE MONEY FOR IDC</t>
  </si>
  <si>
    <t>DO/2003-SKPM</t>
  </si>
  <si>
    <t>PROF.K.SHANKAR MEM.SCHOLARSHIP FOR CAMPU</t>
  </si>
  <si>
    <t>DO/2003-SMSP</t>
  </si>
  <si>
    <t>SUMAN MASHRUWALA LAB/RAJ MASHRUWALA DONA</t>
  </si>
  <si>
    <t>DO/2003-SRML</t>
  </si>
  <si>
    <t>TATA CONSULTANCY SERVICES M.TECH.TASHIP/</t>
  </si>
  <si>
    <t>DO/2003-TCST</t>
  </si>
  <si>
    <t>TATA CONSULTANCY SERVICES/VLSI/ELECT.ENG</t>
  </si>
  <si>
    <t>DO/2003-TCSV</t>
  </si>
  <si>
    <t>TECHNI GRAPHICS LECTURE SERIES AT IITB</t>
  </si>
  <si>
    <t>DO/2003-TGLS</t>
  </si>
  <si>
    <t>G.S.TENDOLKAR MEMORIAL LECTURE FUND</t>
  </si>
  <si>
    <t>DO/2003-TMLF</t>
  </si>
  <si>
    <t>VINCENT FERNANDEZ CONTRIBUTION TO CSE</t>
  </si>
  <si>
    <t>DO/2003-VFCN</t>
  </si>
  <si>
    <t>MR.VIDYADHAR KULKARNI SCHOLARSHIP</t>
  </si>
  <si>
    <t>DO/2003-VKSH</t>
  </si>
  <si>
    <t>VLSI LAB</t>
  </si>
  <si>
    <t>DO/2003-VLSL</t>
  </si>
  <si>
    <t>CLASS OF 87FACULTY DEVT.FUND FOR YOUNG</t>
  </si>
  <si>
    <t>DO/2003-YFDF</t>
  </si>
  <si>
    <t>BRITISH GAS INDIA LTD FOR EARTH SCIENCE</t>
  </si>
  <si>
    <t>DO/2004-BGIL</t>
  </si>
  <si>
    <t>CFDVS SCHOLARSHIPS</t>
  </si>
  <si>
    <t>DO/2004-CFDV</t>
  </si>
  <si>
    <t>DEPT. EARTH SCIENCES</t>
  </si>
  <si>
    <t>DO/2004-DESS</t>
  </si>
  <si>
    <t>LATE SHRI GOPALDAS D. DATTANI SCHOLARSHI</t>
  </si>
  <si>
    <t>DO/2004-GDDS</t>
  </si>
  <si>
    <t>GOLDEN JUBILEE/IMAGE MANAGEMENT&amp;PUBLIC R</t>
  </si>
  <si>
    <t>DO/2004-GJIM</t>
  </si>
  <si>
    <t>PARITOSH CHOKSI/HOSTEL DEVELOPMENT FUND</t>
  </si>
  <si>
    <t>DO/2004-HDFE</t>
  </si>
  <si>
    <t>AVINASH MANUDHANE/INDIRA FOUNDATION FOR</t>
  </si>
  <si>
    <t>DO/2004-IFCE</t>
  </si>
  <si>
    <t>CLASS OF 79</t>
  </si>
  <si>
    <t>DO/2004-LP79</t>
  </si>
  <si>
    <t>H7 MESS WORKERS INCENTIVE FUND</t>
  </si>
  <si>
    <t>DO/2004-MWIF</t>
  </si>
  <si>
    <t>STAFF DEVELOPMENT FUND</t>
  </si>
  <si>
    <t>DO/2004-SDTF</t>
  </si>
  <si>
    <t>SCHOLARSHIPS(LOAN CATEGORY)CLASS OF 81</t>
  </si>
  <si>
    <t>DO/2004-SLCY</t>
  </si>
  <si>
    <t>uPGRADING LAB &amp; WORKSHP FACILITIES MECH.</t>
  </si>
  <si>
    <t>DO/2004-ULWF</t>
  </si>
  <si>
    <t>VLSI FOR STUDENT TRAVEL TO ATTEND CONFER</t>
  </si>
  <si>
    <t>DO/2004-VLSI</t>
  </si>
  <si>
    <t>IIT BOMBAY HERITAGE FUND SCHOLARSHIP</t>
  </si>
  <si>
    <t>DO/2005-BHFS</t>
  </si>
  <si>
    <t>EWAC SCHOLARSHIP</t>
  </si>
  <si>
    <t>DO/2005-EWAC</t>
  </si>
  <si>
    <t>GIRISH GAITONDE FUND FOR EE DEPARTMENT</t>
  </si>
  <si>
    <t>DO/2005-GGF</t>
  </si>
  <si>
    <t>KPMG FOUNDATION SCHOLARSHIP</t>
  </si>
  <si>
    <t>DO/2005-KPMG</t>
  </si>
  <si>
    <t>KRESIT</t>
  </si>
  <si>
    <t>DO/2005-KRES</t>
  </si>
  <si>
    <t>KANWAL REKHI SCHOOL OF INFORMATION TECHN</t>
  </si>
  <si>
    <t>DO/2005-KRST</t>
  </si>
  <si>
    <t>MINISTRY OF STEEL FELLOWSHIP FOR FACULTY</t>
  </si>
  <si>
    <t>DO/2005-MOSF</t>
  </si>
  <si>
    <t>NANDAN NILEKANI PHD. FELLOWSHIP</t>
  </si>
  <si>
    <t>DO/2005-NNFS</t>
  </si>
  <si>
    <t>OPERATIONAL SUPPORT/KRESIT</t>
  </si>
  <si>
    <t>DO/2005-OPST</t>
  </si>
  <si>
    <t>SHANTANU DESHPANDE SCHOLARSHIP AND LECTU</t>
  </si>
  <si>
    <t>DO/2005-SDSL</t>
  </si>
  <si>
    <t>TEACHING ASSISTANCESHIP/NILEKANI</t>
  </si>
  <si>
    <t>DO/2005-TASP</t>
  </si>
  <si>
    <t>YOGEN DALAL READING ROOM</t>
  </si>
  <si>
    <t>DO/2005-YDRR</t>
  </si>
  <si>
    <t>R.V.NILEKANI FUND FOR HOSTEL8 MAINTENAN</t>
  </si>
  <si>
    <t>DO/2006-RVNF</t>
  </si>
  <si>
    <t>CTI  FELLOWSHIP (CTARA)</t>
  </si>
  <si>
    <t>DO/2007-CTIF</t>
  </si>
  <si>
    <t>IBM INTERNATIONAL FOUNDATION FELLOWSHIP</t>
  </si>
  <si>
    <t>DO/2007-IFFP</t>
  </si>
  <si>
    <t>LALITHA RAMANATHAN SCHOLARSHIP CLASS OF</t>
  </si>
  <si>
    <t>DO/2007-LRSH</t>
  </si>
  <si>
    <t>NATIONAL CENTER FOR MATHEMATICS</t>
  </si>
  <si>
    <t>DO/2007-NCFM</t>
  </si>
  <si>
    <t>SHENOY iNNOVATION STUDIOIDC</t>
  </si>
  <si>
    <t>DO/2007-SIDC</t>
  </si>
  <si>
    <t>SCHOLARSHIPS&amp;STUDENT DEVT.FUND</t>
  </si>
  <si>
    <t>DO/2007-SSDF</t>
  </si>
  <si>
    <t>THE IYER SCHOLARSHIP</t>
  </si>
  <si>
    <t>DO/2007-TISS</t>
  </si>
  <si>
    <t>WORLDQUANT FOUNDATION SCHOLARSHIP(IITBHF</t>
  </si>
  <si>
    <t>DO/2007-WFSP</t>
  </si>
  <si>
    <t>CLASS OF82 LEGACY PROJECT JOINING BONUS</t>
  </si>
  <si>
    <t>DO/2007-YFA</t>
  </si>
  <si>
    <t>2018-01-15</t>
  </si>
  <si>
    <t>PROF.A.B.BISWAS MEMORIAL AWARD</t>
  </si>
  <si>
    <t>DO/2008-ABBM</t>
  </si>
  <si>
    <t>BHARAT DESAI FOR SYNTEL GYMNASIUM</t>
  </si>
  <si>
    <t>DO/2008-BDSG</t>
  </si>
  <si>
    <t>Class of 1970 Legacy Project</t>
  </si>
  <si>
    <t>DO/2008-COSP</t>
  </si>
  <si>
    <t>PROF.JAGANMOHAN AWARD</t>
  </si>
  <si>
    <t>DO/2008-JAWD</t>
  </si>
  <si>
    <t>M.V.PANDYA SCHOLARSHIP</t>
  </si>
  <si>
    <t>DO/2008-PSHO</t>
  </si>
  <si>
    <t>STUDENT SCHOLARSHIP FUND</t>
  </si>
  <si>
    <t>DO/2008-SCHF</t>
  </si>
  <si>
    <t>SHARAD MALOO MEMORIAL GOLD MEDAL</t>
  </si>
  <si>
    <t>DO/2008-SMGM</t>
  </si>
  <si>
    <t>SHRI ASHOK CHATURVEDI MEMORIAL PRIZE</t>
  </si>
  <si>
    <t>DO/2009-ACMP</t>
  </si>
  <si>
    <t>ANNUAL FUND RAISING DRIVE</t>
  </si>
  <si>
    <t>DO/2009-AFRD</t>
  </si>
  <si>
    <t>BHARAT FORGE LIMITED</t>
  </si>
  <si>
    <t>DO/2009-BHFL</t>
  </si>
  <si>
    <t>2018-03-09</t>
  </si>
  <si>
    <t>BRISTOLMYERS SQUIBB INDIA PVT. LTD. ( B</t>
  </si>
  <si>
    <t>DO/2009-BMSI</t>
  </si>
  <si>
    <t>CLASS OF 75 EQUIP. FOR FILM CLUB</t>
  </si>
  <si>
    <t>DO/2009-COEF</t>
  </si>
  <si>
    <t>IIT CAMPUS SCHOOL</t>
  </si>
  <si>
    <t>DO/2009-CSHL</t>
  </si>
  <si>
    <t>CUPUM</t>
  </si>
  <si>
    <t>DO/2009-CUPM</t>
  </si>
  <si>
    <t>DAMLE CHARITABLE FOUNDATION TRUST PRIZE</t>
  </si>
  <si>
    <t>DO/2009-DCFT</t>
  </si>
  <si>
    <t>DEEPAK K.MERCHANT MERIT SCHILARSHIP</t>
  </si>
  <si>
    <t>DO/2009-DMMS</t>
  </si>
  <si>
    <t>DEV.OF MULTI SENSOR DATA ( CLIMATE CHANG</t>
  </si>
  <si>
    <t>DO/2009-DOMS</t>
  </si>
  <si>
    <t>1969 GOLDEN JUBILEE FUND</t>
  </si>
  <si>
    <t>DO/2009-GJBF</t>
  </si>
  <si>
    <t>Greatest Need</t>
  </si>
  <si>
    <t>DO/2009-GRND</t>
  </si>
  <si>
    <t>2018-03-07</t>
  </si>
  <si>
    <t>HOSTEL ALUMNI TEAM STEWARDSHIP</t>
  </si>
  <si>
    <t>DO/2009-HATS</t>
  </si>
  <si>
    <t>2018-03-22</t>
  </si>
  <si>
    <t>IEEMA</t>
  </si>
  <si>
    <t>DO/2009-IEEM</t>
  </si>
  <si>
    <t>INFRASTRUCTURE ( BUILDINGS )</t>
  </si>
  <si>
    <t>DO/2009-IFST</t>
  </si>
  <si>
    <t>GO IIT FUND</t>
  </si>
  <si>
    <t>DO/2009-IITF</t>
  </si>
  <si>
    <t>INFRASTRUCTURE ( STUDENT FACILITIES )</t>
  </si>
  <si>
    <t>DO/2009-INSF</t>
  </si>
  <si>
    <t>KERSAAP RUSI ANJIRBAG SCHOLARSHIP</t>
  </si>
  <si>
    <t>DO/2009-KRAS</t>
  </si>
  <si>
    <t>MOULIS ADVERTISING</t>
  </si>
  <si>
    <t>DO/2009-MADV</t>
  </si>
  <si>
    <t>MR. RUYINTAN MEHTA ( AAKASH TABLET AWAR</t>
  </si>
  <si>
    <t>DO/2009-MATA</t>
  </si>
  <si>
    <t>PROF. K. C. MUKHERJI MEMORIAL PRIZE/AWAR</t>
  </si>
  <si>
    <t>DO/2009-MAWD</t>
  </si>
  <si>
    <t>PROF.M.N.GOPALAN PRIZE</t>
  </si>
  <si>
    <t>DO/2009-MNGP</t>
  </si>
  <si>
    <t>MANJULA BAGMAL PARIKH MEMORIAL TRUST PRI</t>
  </si>
  <si>
    <t>DO/2009-PMTP</t>
  </si>
  <si>
    <t>POWAI LABS</t>
  </si>
  <si>
    <t>DO/2009-POLB</t>
  </si>
  <si>
    <t>PARIMAL&amp;PRAMOD CHAUDHARI DONATIONS</t>
  </si>
  <si>
    <t>DO/2009-PPCD</t>
  </si>
  <si>
    <t>2018-02-13</t>
  </si>
  <si>
    <t>PRANLAL PATEL FOUNDATION TRUST</t>
  </si>
  <si>
    <t>DO/2009-PPFT</t>
  </si>
  <si>
    <t>Retired Faculty Wellness Fund (RFWF)</t>
  </si>
  <si>
    <t>DO/2009-RFWF</t>
  </si>
  <si>
    <t>IITB RACINGS PROJECT VELOCITY</t>
  </si>
  <si>
    <t>DO/2009-RPVT</t>
  </si>
  <si>
    <t>P. M. NATU MEMORIAL PRIZE</t>
  </si>
  <si>
    <t>DO/2009-SCMP</t>
  </si>
  <si>
    <t>DR.SHANKAR DAYAL SHARMA GOLD MEDAL</t>
  </si>
  <si>
    <t>DO/2009-SDSM</t>
  </si>
  <si>
    <t>SOCIETY FOR INNOVATION &amp; ENTREPRENEURSH</t>
  </si>
  <si>
    <t>DO/2009-SFIE</t>
  </si>
  <si>
    <t>SIDBI</t>
  </si>
  <si>
    <t>DO/2009-SIDB</t>
  </si>
  <si>
    <t>SCHOOL OF BIOSCI. &amp; BIO ENGG.</t>
  </si>
  <si>
    <t>DO/2009-SOBS</t>
  </si>
  <si>
    <t>M/S.SCHRADER SCOVILL DUNCAN SCHOLARSHIP</t>
  </si>
  <si>
    <t>DO/2009-SSDS</t>
  </si>
  <si>
    <t>TULSIRAM DEVIDAYAL PRIZE</t>
  </si>
  <si>
    <t>DO/2009-TRDP</t>
  </si>
  <si>
    <t>INDUSTRIAL DESIGN CENTRE ( IDC )</t>
  </si>
  <si>
    <t>DO/2010-IDCR</t>
  </si>
  <si>
    <t>PRAJ CELL FACTORIES LABORATORY</t>
  </si>
  <si>
    <t>DO/2010-PCFL</t>
  </si>
  <si>
    <t>ADITYA CHOUBEY MEMORIAL PRIZE</t>
  </si>
  <si>
    <t>DO/2011-ACMP</t>
  </si>
  <si>
    <t>ASHOK VASANT KULKARNI SCHO. ( IITBHF )</t>
  </si>
  <si>
    <t>DO/2011-AVKS</t>
  </si>
  <si>
    <t>C.V.SESHADRI ANNUAL LECTURE</t>
  </si>
  <si>
    <t>DO/2011-CSAL</t>
  </si>
  <si>
    <t>2018-03-15</t>
  </si>
  <si>
    <t>INFOSYS TECH. LTD. ( SCH. IIT PARIS TECH</t>
  </si>
  <si>
    <t>DO/2011-IFTL</t>
  </si>
  <si>
    <t>DR. G B KALE SCHOLARSHIP FOR ACADEMIC E</t>
  </si>
  <si>
    <t>DO/2011-KSAE</t>
  </si>
  <si>
    <t>DR. M H MEHTA AWARD STUDENTS B6/B3 AND</t>
  </si>
  <si>
    <t>DO/2011-MAST</t>
  </si>
  <si>
    <t>MANGESH V MADIMAN SCHO. ( IITBHF )</t>
  </si>
  <si>
    <t>DO/2011-MVMS</t>
  </si>
  <si>
    <t>DR.P.V.SUKHATME PRIZE</t>
  </si>
  <si>
    <t>DO/2011-PVSP</t>
  </si>
  <si>
    <t>2018-03-12</t>
  </si>
  <si>
    <t>MRS.RAMA MATHUR MEMORIAL PRIZE</t>
  </si>
  <si>
    <t>DO/2011-RMMP</t>
  </si>
  <si>
    <t>RIZ MITHANI SCHOLARSHIP ( IITBHF )</t>
  </si>
  <si>
    <t>DO/2011-RMSP</t>
  </si>
  <si>
    <t>SUBRAMANIAN EXCELLENCE AWARD</t>
  </si>
  <si>
    <t>DO/2011-SEAD</t>
  </si>
  <si>
    <t>SMT. SANTHI KRISHNAN MEMORIAL SCHO.</t>
  </si>
  <si>
    <t>DO/2011-SKSM</t>
  </si>
  <si>
    <t>SHRI PRAKASH KRISHNAN AWARD</t>
  </si>
  <si>
    <t>DO/2011-SPKA</t>
  </si>
  <si>
    <t>TINKERERS LAB ( CLASS OF 1975 LEGACY PR</t>
  </si>
  <si>
    <t>DO/2011-TINK</t>
  </si>
  <si>
    <t>M.N.VARTAK MEMORIAL PRIZE</t>
  </si>
  <si>
    <t>DO/2011-VMPZ</t>
  </si>
  <si>
    <t>YOUNG FACULTY AWARD NOMURA &amp; NOMURA LECT</t>
  </si>
  <si>
    <t>DO/2011-YFAW</t>
  </si>
  <si>
    <t>IITBAA Decennial Fund</t>
  </si>
  <si>
    <t>DO/2012-AADF</t>
  </si>
  <si>
    <t>ASMEISHMT 2010 SCHOLARSHIP</t>
  </si>
  <si>
    <t>DO/2012-AISP</t>
  </si>
  <si>
    <t>AGRAWAL LOW LATENCY MESSAGING SCHO. ( I</t>
  </si>
  <si>
    <t>DO/2012-ALMS</t>
  </si>
  <si>
    <t>Benevolent Fund</t>
  </si>
  <si>
    <t>DO/2012-BENF</t>
  </si>
  <si>
    <t>2018-03-06</t>
  </si>
  <si>
    <t>BABUBHAI J SHAH SCHO. ( PANKAJ SHAH )</t>
  </si>
  <si>
    <t>DO/2012-BJSS</t>
  </si>
  <si>
    <t>CLASS OF 86 LEGACY PROJECT</t>
  </si>
  <si>
    <t>DO/2012-CO86</t>
  </si>
  <si>
    <t>CAMPUS SCHOOL LIABRARY BOOKS</t>
  </si>
  <si>
    <t>DO/2012-CSLB</t>
  </si>
  <si>
    <t>DESAI SETHI FAMILY SCHOLARSHIP</t>
  </si>
  <si>
    <t>DO/2012-DSFS</t>
  </si>
  <si>
    <t>2018-02-09</t>
  </si>
  <si>
    <t>DESAI SETHI CENTRE</t>
  </si>
  <si>
    <t>DO/2012-DSRC</t>
  </si>
  <si>
    <t>ENGLISH GROUP STUDENT HSS DEPT.</t>
  </si>
  <si>
    <t>DO/2012-EGSH</t>
  </si>
  <si>
    <t>GIRISH SANT LECTURE SERIES</t>
  </si>
  <si>
    <t>DO/2012-GSLS</t>
  </si>
  <si>
    <t>K. C. Khilar Distinguished Fellowship</t>
  </si>
  <si>
    <t>DO/2012-KDFS</t>
  </si>
  <si>
    <t>PROF N B BALLAL SCHO.( ANONYMOUS )</t>
  </si>
  <si>
    <t>DO/2012-MNBS</t>
  </si>
  <si>
    <t>RUYINTAN MEHTA COOPER UNION STUDENT EXC</t>
  </si>
  <si>
    <t>DO/2012-RMCE</t>
  </si>
  <si>
    <t>SHARDABEN B SHAH SCHO. ( PANKAJ SHAH )</t>
  </si>
  <si>
    <t>DO/2012-SBSS</t>
  </si>
  <si>
    <t>S. C. Mehrotra Award in Civil Engg.</t>
  </si>
  <si>
    <t>DO/2012-SCMA</t>
  </si>
  <si>
    <t>SURAJBEN MAGANLAL SHAH TRUST SHAKTI SCH</t>
  </si>
  <si>
    <t>DO/2012-SMSS</t>
  </si>
  <si>
    <t>LATE SMT. SULOCHANA V. MARATHE SCHO</t>
  </si>
  <si>
    <t>DO/2012-SVMS</t>
  </si>
  <si>
    <t>TATA CENTRE COMMUNICATION INFRA.  CONT</t>
  </si>
  <si>
    <t>DO/2012-TCCI</t>
  </si>
  <si>
    <t>VIDYASAGAR NEHRA GOLD MEDAL</t>
  </si>
  <si>
    <t>DO/2012-VNGM</t>
  </si>
  <si>
    <t>WUStLIITBCORPORATE ALLIANCE ACCOU</t>
  </si>
  <si>
    <t>DO/2012-WUSL</t>
  </si>
  <si>
    <t>PROPOSED CIVIL ENGG. NAMED CHAIR</t>
  </si>
  <si>
    <t>DO/2013-CENC</t>
  </si>
  <si>
    <t>CLASS OF 1987 LEGACY PROJECT</t>
  </si>
  <si>
    <t>DO/2013-CO87</t>
  </si>
  <si>
    <t>ICONSAT 2010</t>
  </si>
  <si>
    <t>DO/2013-ICON</t>
  </si>
  <si>
    <t>MASHRUWALA AWARD FOR EDUCATIONAL INNOVA</t>
  </si>
  <si>
    <t>DO/2013-MAFE</t>
  </si>
  <si>
    <t>MATHEMATICS DEPARTMENT ( BHARAT FORGE L</t>
  </si>
  <si>
    <t>DO/2013-MMDT</t>
  </si>
  <si>
    <t>WADHWANI RESEARCH CENTER FOR BIOSCI.&amp;BI</t>
  </si>
  <si>
    <t>DO/2013-WRSC</t>
  </si>
  <si>
    <t>LATE AKSHAY DHOKE MEMORIAL AWARD</t>
  </si>
  <si>
    <t>DO/2014-ADMA</t>
  </si>
  <si>
    <t>PROF. A. K. MALLIK AWARD</t>
  </si>
  <si>
    <t>DO/2014-AKMA</t>
  </si>
  <si>
    <t>ANANT PAI SCHOLARSHIP ( IITBHF )</t>
  </si>
  <si>
    <t>DO/2014-APSP</t>
  </si>
  <si>
    <t>B.V.THOSAR SCHOLARSHIP</t>
  </si>
  <si>
    <t>DO/2014-BVTS</t>
  </si>
  <si>
    <t>CLASS OF 2002 LEGACY PROJECT</t>
  </si>
  <si>
    <t>DO/2014-CLLP</t>
  </si>
  <si>
    <t>DEPARTMENT FUNDCTARA</t>
  </si>
  <si>
    <t>DO/2014-DFCR</t>
  </si>
  <si>
    <t>SHRI DAGDU &amp; SMT BANABAI SURVADE MEM. SC</t>
  </si>
  <si>
    <t>DO/2014-DSMS</t>
  </si>
  <si>
    <t>ENRICHMENT OF SANSKRIT WORDNET  CONTIN</t>
  </si>
  <si>
    <t>DO/2014-EOSW</t>
  </si>
  <si>
    <t>FUNDASCLEAR SCHOLARSHIP FUND ( CLASS OF</t>
  </si>
  <si>
    <t>DO/2014-FSSF</t>
  </si>
  <si>
    <t>TRAVEL GRANT</t>
  </si>
  <si>
    <t>DO/2014-GSTG</t>
  </si>
  <si>
    <t>DONATION.SHRI HAP CHEMICAL ENTERPRISES P</t>
  </si>
  <si>
    <t>DO/2014-HCEP</t>
  </si>
  <si>
    <t>HOSTEL STUDY ROOM PROJECT (192)  FURNI</t>
  </si>
  <si>
    <t>DO/2014-HSRP</t>
  </si>
  <si>
    <t>TATA CENTRE EVENT KALPANA</t>
  </si>
  <si>
    <t>DO/2014-KLPN</t>
  </si>
  <si>
    <t>MAHINDRA AUTO CHALLENGE (192)</t>
  </si>
  <si>
    <t>DO/2014-MACG</t>
  </si>
  <si>
    <t>INTL MOBILITY FUND JOINT SUPERVISE RESE</t>
  </si>
  <si>
    <t>DO/2014-MFJS</t>
  </si>
  <si>
    <t>NARENDRA JOSHI FACULTY AWARD</t>
  </si>
  <si>
    <t>DO/2014-NJFA</t>
  </si>
  <si>
    <t>LATE PRANAB RANJAN SEN AWARD ( M. TECH .</t>
  </si>
  <si>
    <t>DO/2014-PRSA</t>
  </si>
  <si>
    <t>SHARDA B. SHAH SCHOLARSHIP AWARD  Awar</t>
  </si>
  <si>
    <t>DO/2014-SBSP</t>
  </si>
  <si>
    <t>SHANTADURGA SUJIR SCHOLARSHIP AWARD  A</t>
  </si>
  <si>
    <t>DO/2014-SDSP</t>
  </si>
  <si>
    <t>Travel Expenses incurred for Tata Centre</t>
  </si>
  <si>
    <t>DO/2014-TATA415-022</t>
  </si>
  <si>
    <t>2017-09-18</t>
  </si>
  <si>
    <t>IIT ALUMNI ASSOCIATION UK FUND</t>
  </si>
  <si>
    <t>DO/2015-AAUF</t>
  </si>
  <si>
    <t>AUTOMOBILE CORPORATION OF GOA LTD ( CTAR</t>
  </si>
  <si>
    <t>DO/2015-ACOG</t>
  </si>
  <si>
    <t>APARNA AND ANIL CHAKRABORTY &amp; SURAJ K.YA</t>
  </si>
  <si>
    <t>DO/2015-ACSY</t>
  </si>
  <si>
    <t>MS. A. J. MAJUMDAR SCHOLARSHIP</t>
  </si>
  <si>
    <t>DO/2015-AJMS</t>
  </si>
  <si>
    <t>ALUMNI SPONSORED SCHOLARSHIP</t>
  </si>
  <si>
    <t>DO/2015-ALSP</t>
  </si>
  <si>
    <t>AMAT</t>
  </si>
  <si>
    <t>DO/2015-AMAT</t>
  </si>
  <si>
    <t>2018-02-14</t>
  </si>
  <si>
    <t>ADOBE SYSTEMS INCORPORATED  EQUIPMENT</t>
  </si>
  <si>
    <t>DO/2015-ASID</t>
  </si>
  <si>
    <t>MS. ANITA SRIVASTAVA MEM. SCHO. ( CL 63</t>
  </si>
  <si>
    <t>DO/2015-ASMS</t>
  </si>
  <si>
    <t>DO/2015-ASSP</t>
  </si>
  <si>
    <t>BHARTI CENTRE OF COMMUNICATION(EE DEPT)</t>
  </si>
  <si>
    <t>DO/2015-BCC</t>
  </si>
  <si>
    <t>DEPARTMENT FUND  BSBE</t>
  </si>
  <si>
    <t>DO/2015-BSBE</t>
  </si>
  <si>
    <t>DO/2015-C86LP</t>
  </si>
  <si>
    <t>CISCO SYSTEMS INDIA PVT LTD</t>
  </si>
  <si>
    <t>DO/2015-CSCO</t>
  </si>
  <si>
    <t>TRIVENI TURBINE LIMITED (CSR)</t>
  </si>
  <si>
    <t>DO/2015-CTTL</t>
  </si>
  <si>
    <t>IITB DESAI SETHI CENTRE FOR ENT. CHAIRPR</t>
  </si>
  <si>
    <t>DO/2015-DSCC</t>
  </si>
  <si>
    <t>ELECTRICAL ENGINEERING DEPARTMENT SCHOLA</t>
  </si>
  <si>
    <t>DO/2015-EEDS</t>
  </si>
  <si>
    <t>EDUCATOR MALATI GADRE SCHO. ( IITBHF )</t>
  </si>
  <si>
    <t>DO/2015-EMGS</t>
  </si>
  <si>
    <t>GIRISH &amp; DATTA SHAH SCHOLARSHIP ( IITBHF</t>
  </si>
  <si>
    <t>DO/2015-GDSS</t>
  </si>
  <si>
    <t>MR. &amp; MRS.G.IYENGAR SCHOLARSHIP</t>
  </si>
  <si>
    <t>DO/2015-GISP</t>
  </si>
  <si>
    <t>GREATER NEW YORK CHAP. ALUMNI SCHO ( IIT</t>
  </si>
  <si>
    <t>DO/2015-GNYC</t>
  </si>
  <si>
    <t>DR G V BAKORE MEM. SCHO. ( RAVI APTE )</t>
  </si>
  <si>
    <t>DO/2015-GVBS</t>
  </si>
  <si>
    <t>HAR ASHA FOUNDATION SCHOLARSHIP</t>
  </si>
  <si>
    <t>DO/2015-HFSP</t>
  </si>
  <si>
    <t>SHRI HARCHARAN SINGH MINHAS SCHO. ( CL 8</t>
  </si>
  <si>
    <t>DO/2015-HSMS</t>
  </si>
  <si>
    <t>IITB Development and Relations Foundatio</t>
  </si>
  <si>
    <t>DO/2015-IDRF</t>
  </si>
  <si>
    <t>INDIRA MANUDHANE SCHOLARSHIP</t>
  </si>
  <si>
    <t>DO/2015-IMSS</t>
  </si>
  <si>
    <t>KIRIT BHANSALI SCHO. ( IITBHF )</t>
  </si>
  <si>
    <t>DO/2015-KBSC</t>
  </si>
  <si>
    <t>KHURANA SCHOLARSHIP</t>
  </si>
  <si>
    <t>DO/2015-KHSP</t>
  </si>
  <si>
    <t>Class of 2005 Legacy Project</t>
  </si>
  <si>
    <t>DO/2015-LP05</t>
  </si>
  <si>
    <t>DO/2015-LP87</t>
  </si>
  <si>
    <t>CLASS OF 1991 LEGACY PROJECT</t>
  </si>
  <si>
    <t>DO/2015-LP91</t>
  </si>
  <si>
    <t>LAXMI PAI SCHOLARSHIP ( IITBHF</t>
  </si>
  <si>
    <t>DO/2015-LPSS</t>
  </si>
  <si>
    <t>LALITA SHAH SCHOLARSHIP ( IITBHF )</t>
  </si>
  <si>
    <t>DO/2015-LSSH</t>
  </si>
  <si>
    <t>1970 BATCH MCM SCHOLARSHIP FOR WOMAN ST</t>
  </si>
  <si>
    <t>DO/2015-MCMW</t>
  </si>
  <si>
    <t>PROF. MERCHANT FOR HIS PMC LAB(195)</t>
  </si>
  <si>
    <t>DO/2015-MFHP</t>
  </si>
  <si>
    <t>LATE SMT MALATI &amp; JAGANNATH GAVANKAR SCH</t>
  </si>
  <si>
    <t>DO/2015-MJGS</t>
  </si>
  <si>
    <t>SMT. MOHINDER KAUR MINHAS SCHO. ( CL. 88</t>
  </si>
  <si>
    <t>DO/2015-MKMS</t>
  </si>
  <si>
    <t>MESS WORKERS FUND(H18192)</t>
  </si>
  <si>
    <t>DO/2015-MWFD</t>
  </si>
  <si>
    <t>PROF S L NARAYANAMURTHY SCHO ( TWO ) ATU</t>
  </si>
  <si>
    <t>DO/2015-NSCH</t>
  </si>
  <si>
    <t>FPGA board purchases as per MoU</t>
  </si>
  <si>
    <t>DO/2015-PAIF408-001</t>
  </si>
  <si>
    <t>2017-11-13</t>
  </si>
  <si>
    <t>PHYSICS DEPARTMENT</t>
  </si>
  <si>
    <t>DO/2015-PHYD</t>
  </si>
  <si>
    <t>PARIMAL&amp;PRAMOD CHAUDHARI LAB FOR CELL C</t>
  </si>
  <si>
    <t>DO/2015-PPCL</t>
  </si>
  <si>
    <t>2018-01-17</t>
  </si>
  <si>
    <t>To augment the funds available under the</t>
  </si>
  <si>
    <t>DO/2015-PRAJ454-001</t>
  </si>
  <si>
    <t>2017-05-05</t>
  </si>
  <si>
    <t>RAMAN K RAO SCHOLARSHIP</t>
  </si>
  <si>
    <t>DO/2015-RKRS</t>
  </si>
  <si>
    <t>RUYINTAN &amp; MONICA MEHTA SCHP.</t>
  </si>
  <si>
    <t>DO/2015-RMMS</t>
  </si>
  <si>
    <t>RUYINTAN &amp; MONICA MEHTA SCH. CHEMICAL EN</t>
  </si>
  <si>
    <t>DO/2015-RMSH</t>
  </si>
  <si>
    <t>RADHA  RATAN NEHRA PRIZE CAMPUS SCHOOL</t>
  </si>
  <si>
    <t>DO/2015-RRNP</t>
  </si>
  <si>
    <t>SJMSOM DEVELOPMENT FUND</t>
  </si>
  <si>
    <t>DO/2015-SJMS</t>
  </si>
  <si>
    <t>2018-04-18</t>
  </si>
  <si>
    <t>SHAH &amp; KOTHARY FAMILY SCOH. ( IITBHF )</t>
  </si>
  <si>
    <t>DO/2015-SKFS</t>
  </si>
  <si>
    <t>SMT.SURAJ KANWAR GOLECHHA SCHOLARSHIPAw</t>
  </si>
  <si>
    <t>DO/2015-SKGS</t>
  </si>
  <si>
    <t>SMT.SANTHI KRISHNAN MEMORIAL SCHOLARSHIP</t>
  </si>
  <si>
    <t>DO/2015-SKMS</t>
  </si>
  <si>
    <t>DR. Y. SRINIVASA RAO MEM. SCH.</t>
  </si>
  <si>
    <t>DO/2015-SRMS</t>
  </si>
  <si>
    <t>SUPPORT RESEARCH PROJECTS BY PROF. UMESH</t>
  </si>
  <si>
    <t>DO/2015-SRPS</t>
  </si>
  <si>
    <t>SHRI.VISHANJI HIRJI DAND CENTENNIAL BIRT</t>
  </si>
  <si>
    <t>DO/2015-SVHD</t>
  </si>
  <si>
    <t>TRAVEL GRANT BY GOOGLE IRELAND LTD</t>
  </si>
  <si>
    <t>DO/2015-TGIL</t>
  </si>
  <si>
    <t>THE PATEL FAMILY SCHOLARSHIP</t>
  </si>
  <si>
    <t>DO/2015-TPFS</t>
  </si>
  <si>
    <t>UDAYKUMAR VORA SCHOLARSHIP</t>
  </si>
  <si>
    <t>DO/2015-UVSP</t>
  </si>
  <si>
    <t>DR. VIJAYA APTE MEMO.SCHO. ( RAVI APTE</t>
  </si>
  <si>
    <t>DO/2015-VAMS</t>
  </si>
  <si>
    <t>VASANT AND MEERA SHEOREY SCHOLARSHIP</t>
  </si>
  <si>
    <t>DO/2015-VMSS</t>
  </si>
  <si>
    <t>Microalgal CO2 capture process Design an</t>
  </si>
  <si>
    <t>DO/2015-WRCB446-004</t>
  </si>
  <si>
    <t>WADHWANI RESEARCH CENTRE FOR BIO</t>
  </si>
  <si>
    <t>DO/2015-WRCF</t>
  </si>
  <si>
    <t>YAGNASWAMY CHELLAM SCHOLARSHIP</t>
  </si>
  <si>
    <t>DO/2015-YCSP</t>
  </si>
  <si>
    <t>YEARBOOK CONTRIBUTION</t>
  </si>
  <si>
    <t>DO/2015-YRBC</t>
  </si>
  <si>
    <t>DO/2016-AADS</t>
  </si>
  <si>
    <t>ANUPAMA BHATIA MEMORIAL SCHOLARSHIP</t>
  </si>
  <si>
    <t>DO/2016-ABMS</t>
  </si>
  <si>
    <t>AVADHANI SCHOLARSHIP (192)</t>
  </si>
  <si>
    <t>DO/2016-ADNS</t>
  </si>
  <si>
    <t>ARCHAEOLOGIST MORESHWAR GARDE SCHOLARSHI</t>
  </si>
  <si>
    <t>DO/2016-AMGS</t>
  </si>
  <si>
    <t>ANONYMOUS SCHOLARSHIP (192)</t>
  </si>
  <si>
    <t>DO/2016-ANON</t>
  </si>
  <si>
    <t>APJ ABDUL KALAM SCHOLARSHIP (192)</t>
  </si>
  <si>
    <t>DO/2016-APJK</t>
  </si>
  <si>
    <t>ASHOK VASANT KULKARNI SCHOLARSHIP (GRANT</t>
  </si>
  <si>
    <t>DO/2016-AVKS</t>
  </si>
  <si>
    <t>BROADCOM FOUNDATION SCHOLARSHIP</t>
  </si>
  <si>
    <t>DO/2016-BFSS</t>
  </si>
  <si>
    <t>IITBHF SCHOLARSHIP (GRANT 188)</t>
  </si>
  <si>
    <t>DO/2016-BHFS</t>
  </si>
  <si>
    <t>IITBHF SCHOLARSHIP  I (GRANT 186</t>
  </si>
  <si>
    <t>DO/2016-BHSS</t>
  </si>
  <si>
    <t>BULCHAND AND RANI KIRPALANI SCHOLARSHIP</t>
  </si>
  <si>
    <t>DO/2016-BRKS</t>
  </si>
  <si>
    <t>IITBHF SCHOLARSHIP  II (GRANT 186)</t>
  </si>
  <si>
    <t>DO/2016-BSCH</t>
  </si>
  <si>
    <t>CLEAN GREEN CAMPUS</t>
  </si>
  <si>
    <t>DO/2016-CLGN</t>
  </si>
  <si>
    <t>EE ALUMNI SPONSORED SCHOLARSHIP (192)</t>
  </si>
  <si>
    <t>DO/2016-EASS</t>
  </si>
  <si>
    <t>GOLDEN CHAIR PROFESSORSHIP IN CHEMISTRY</t>
  </si>
  <si>
    <t>DO/2016-GCPC</t>
  </si>
  <si>
    <t>GOPAL B.NENE SCHOLARSHIP(192)</t>
  </si>
  <si>
    <t>DO/2016-GGNS</t>
  </si>
  <si>
    <t>GIRISH KULKARNI SCHOLARSHIP(192)</t>
  </si>
  <si>
    <t>DO/2016-GKSP</t>
  </si>
  <si>
    <t>HAR ASHA FOUNDATION SCHOLARSHIP (192)</t>
  </si>
  <si>
    <t>DO/2016-HDFS</t>
  </si>
  <si>
    <t>Study of Mixing of Layered Crude Oil in</t>
  </si>
  <si>
    <t>DO/2016-HPCL000-001</t>
  </si>
  <si>
    <t>IDEAS Program Main Project</t>
  </si>
  <si>
    <t>DO/2016-IDEAS</t>
  </si>
  <si>
    <t>2018-01-04</t>
  </si>
  <si>
    <t>THE INDIRA FOUNDATION SCHOLARSHIP</t>
  </si>
  <si>
    <t>DO/2016-IND1</t>
  </si>
  <si>
    <t>DO/2016-IND2</t>
  </si>
  <si>
    <t>DO/2016-IND3</t>
  </si>
  <si>
    <t>DO/2016-IND4</t>
  </si>
  <si>
    <t>DO/2016-IND5</t>
  </si>
  <si>
    <t>DO/2016-IND6</t>
  </si>
  <si>
    <t>DO/2016-IND7</t>
  </si>
  <si>
    <t>DO/2016-IND8</t>
  </si>
  <si>
    <t>DO/2016-IND9</t>
  </si>
  <si>
    <t>DO/2016-INDF</t>
  </si>
  <si>
    <t>J P SINGH SCHOLARSHIP</t>
  </si>
  <si>
    <t>DO/2016-JPSS</t>
  </si>
  <si>
    <t>KOLLU FAMILY SCHOLARSHIP (192)</t>
  </si>
  <si>
    <t>DO/2016-KFSP</t>
  </si>
  <si>
    <t>KAUSHAL &amp; SHWETA PATEL SCHOLARSHIP (192</t>
  </si>
  <si>
    <t>DO/2016-KSPS</t>
  </si>
  <si>
    <t>MENEZES FOUNDATION SCHOLARSHIP</t>
  </si>
  <si>
    <t>DO/2016-MFSS</t>
  </si>
  <si>
    <t>M.TECH STEEL TECHNOLOGY FUND/MEMS DEPT</t>
  </si>
  <si>
    <t>DO/2016-MSTF</t>
  </si>
  <si>
    <t>MEERA AND VASANT KESHAV SHEOREY SCHOLARS</t>
  </si>
  <si>
    <t>DO/2016-MVKS</t>
  </si>
  <si>
    <t>NINA MENEZES SCHOLARSHIP</t>
  </si>
  <si>
    <t>DO/2016-NMSS</t>
  </si>
  <si>
    <t>NITISH THAKOR SCHOLARSHIP</t>
  </si>
  <si>
    <t>DO/2016-NTSS</t>
  </si>
  <si>
    <t>NIRMALABEN VISHANJIDAND ANDLAXMIBEN NARS</t>
  </si>
  <si>
    <t>DO/2016-NVAN</t>
  </si>
  <si>
    <t>O.P.BEHARI SCHOLARSHIP</t>
  </si>
  <si>
    <t>DO/2016-OPBS</t>
  </si>
  <si>
    <t>PROF. KRITHI RAMAMRITHAM AWARD</t>
  </si>
  <si>
    <t>DO/2016-PKRA</t>
  </si>
  <si>
    <t>CSR Funding from Portescap Pvt. Ltd. to</t>
  </si>
  <si>
    <t>DO/2016-PORT575-002</t>
  </si>
  <si>
    <t>Development of Cancer Screening Solution</t>
  </si>
  <si>
    <t>DO/2016-PORTESC-001</t>
  </si>
  <si>
    <t>PATEL SCHOLARSHIP</t>
  </si>
  <si>
    <t>DO/2016-PSCH</t>
  </si>
  <si>
    <t>RATIBHAI V PATEL SCHOLARSHIP (192)</t>
  </si>
  <si>
    <t>DO/2016-RBPS</t>
  </si>
  <si>
    <t>RENJEN SCHOLARSHIP (192)</t>
  </si>
  <si>
    <t>DO/2016-REJS</t>
  </si>
  <si>
    <t>RUYINTAN &amp; MONICA MEHTA SCHOLARSHIP GRA</t>
  </si>
  <si>
    <t>DO/2016-RMMS</t>
  </si>
  <si>
    <t>SUSTAINABLE ENERGY SCHOLARSHIP (192 BY</t>
  </si>
  <si>
    <t>DO/2016-SESP</t>
  </si>
  <si>
    <t>SAI KRIPA SCHOLARSHIP(BY sUNMAY)</t>
  </si>
  <si>
    <t>DO/2016-SKSS</t>
  </si>
  <si>
    <t>Prof.S.L.Narayanamurthy Full Scholarship</t>
  </si>
  <si>
    <t>DO/2016-SLNF</t>
  </si>
  <si>
    <t>Prof. S.L.Narayanamurthy Sch.2(190)</t>
  </si>
  <si>
    <t>DO/2016-SLNS</t>
  </si>
  <si>
    <t>SPONSORS PAYVBACK SCHOLARSHIP (192)</t>
  </si>
  <si>
    <t>DO/2016-SPBS</t>
  </si>
  <si>
    <t>CLASS OF 1989 LP STUDENT SCHOLARSHIP FUN</t>
  </si>
  <si>
    <t>DO/2016-STSF</t>
  </si>
  <si>
    <t>SATYARAM SCHOLARSHIP</t>
  </si>
  <si>
    <t>DO/2016-STSP</t>
  </si>
  <si>
    <t>Registration of IP and lab consumable ma</t>
  </si>
  <si>
    <t>DO/2016-SUMANML-001</t>
  </si>
  <si>
    <t>Biliscope Phase 2</t>
  </si>
  <si>
    <t>DO/2016-TATA000-001</t>
  </si>
  <si>
    <t>IITB Donation Fund (sponsored TATA cente</t>
  </si>
  <si>
    <t>DO/2016-TATA000-002</t>
  </si>
  <si>
    <t>Utilization of waste tire rubber and was</t>
  </si>
  <si>
    <t>DO/2016-TATA000-004</t>
  </si>
  <si>
    <t>Feasibility study of Jaggery making and</t>
  </si>
  <si>
    <t>DO/2016-TATA000-005</t>
  </si>
  <si>
    <t>Infrastructure &amp; Lab</t>
  </si>
  <si>
    <t>DO/2016-TATA000-006</t>
  </si>
  <si>
    <t>Seed grant on CART cell technology deve</t>
  </si>
  <si>
    <t>DO/2016-TATA000-007</t>
  </si>
  <si>
    <t>Existing Tata Center project on Voice pr</t>
  </si>
  <si>
    <t>DO/2016-TATA000-008</t>
  </si>
  <si>
    <t>HumidificationDehumidification Desalina</t>
  </si>
  <si>
    <t>DO/2016-TATA000-009</t>
  </si>
  <si>
    <t>Operational expenses</t>
  </si>
  <si>
    <t>DO/2016-TATA415-007</t>
  </si>
  <si>
    <t>DO/2016-TATA422-022</t>
  </si>
  <si>
    <t>Translation to preclinical and clinical</t>
  </si>
  <si>
    <t>DO/2016-TATA422-023</t>
  </si>
  <si>
    <t>DO/2016-TATA422-027</t>
  </si>
  <si>
    <t>EIS platform for bacteriological monito</t>
  </si>
  <si>
    <t>DO/2016-TATA422-035</t>
  </si>
  <si>
    <t>Active Learning in Electronics and Power</t>
  </si>
  <si>
    <t>DO/2016-TATA422-042</t>
  </si>
  <si>
    <t>2017-10-30</t>
  </si>
  <si>
    <t>For the Expansion Program of T</t>
  </si>
  <si>
    <t>DO/2016-TINK377-001</t>
  </si>
  <si>
    <t>UNDERGRADUATE SCHOLARSHIP GRANT 186</t>
  </si>
  <si>
    <t>DO/2016-UGSS</t>
  </si>
  <si>
    <t>VIDYA SCHOLARSHIP</t>
  </si>
  <si>
    <t>DO/2016-VSCH</t>
  </si>
  <si>
    <t>New collaborative project IITBCMU</t>
  </si>
  <si>
    <t>DO/2016-WRCB000-001</t>
  </si>
  <si>
    <t>Furnishing and equipping New WRCB space</t>
  </si>
  <si>
    <t>DO/2016-WRCB000-002</t>
  </si>
  <si>
    <t>Expenses related to WRCB supported seed</t>
  </si>
  <si>
    <t>DO/2016-WRCB000-003</t>
  </si>
  <si>
    <t>Consumable contingency and travel for</t>
  </si>
  <si>
    <t>DO/2016-WRCB000-004</t>
  </si>
  <si>
    <t>IITBCMU collaborative project on biosen</t>
  </si>
  <si>
    <t>DO/2016-WRCB000-005</t>
  </si>
  <si>
    <t>DO/2016-WRCB446-002</t>
  </si>
  <si>
    <t>DR.Y.SRINIVASA RAO MEMORIAL SCHO.(GRANT</t>
  </si>
  <si>
    <t>DO/2016-YSRM</t>
  </si>
  <si>
    <t>IITB ALUUMNI AT MICROSOFT SCHOLARSHIP (3</t>
  </si>
  <si>
    <t>DO/2017-AAMS</t>
  </si>
  <si>
    <t>ANAND AND SUDHA KARPE SCHOLARSHIP(2016</t>
  </si>
  <si>
    <t>DO/2017-AASK</t>
  </si>
  <si>
    <t>DO/2017-AASS</t>
  </si>
  <si>
    <t>ABHAY HIMATLAL TALSANIA SCHOLARSHIP</t>
  </si>
  <si>
    <t>DO/2017-AHTS</t>
  </si>
  <si>
    <t>AMRUTHA IYENGAR SCHOLARSHIP</t>
  </si>
  <si>
    <t>DO/2017-AISP</t>
  </si>
  <si>
    <t>ADITYA JOSHI SCHOLARSHIP</t>
  </si>
  <si>
    <t>DO/2017-AJSP</t>
  </si>
  <si>
    <t>ANISBERT&amp; KUMARIE SEQUEIRA SCHOLARSHIP</t>
  </si>
  <si>
    <t>DO/2017-AKSS</t>
  </si>
  <si>
    <t>IIT ALUMNI AT MICROSOFT SCHOLARSHIP</t>
  </si>
  <si>
    <t>DO/2017-ALMN</t>
  </si>
  <si>
    <t>DO/2017-ALMS</t>
  </si>
  <si>
    <t>IITB ALUUMNI AT MICROSOFT SCHOLARSHIP (2</t>
  </si>
  <si>
    <t>DO/2017-ALSP</t>
  </si>
  <si>
    <t>DO/2017-ALSS</t>
  </si>
  <si>
    <t>ATUL THAKKAR SCHOLARSHIP</t>
  </si>
  <si>
    <t>DO/2017-ALTS</t>
  </si>
  <si>
    <t>DO/2017-AMMS</t>
  </si>
  <si>
    <t>DO/2017-AMNS</t>
  </si>
  <si>
    <t>IITB ALUUMNI AT MICROSOFT SCHOLARSHIP (1</t>
  </si>
  <si>
    <t>DO/2017-AMSC</t>
  </si>
  <si>
    <t>DO/2017-AMSP</t>
  </si>
  <si>
    <t>ANONYMOUS SCHOLARSHIP (2007)</t>
  </si>
  <si>
    <t>DO/2017-AMSS</t>
  </si>
  <si>
    <t>ANONYMOUS 173</t>
  </si>
  <si>
    <t>DO/2017-ANMS</t>
  </si>
  <si>
    <t>ANONYMOUS SCHOLARSHIP</t>
  </si>
  <si>
    <t>DO/2017-ANON</t>
  </si>
  <si>
    <t>ANONYMOUS SCHOLARSHIP (2016</t>
  </si>
  <si>
    <t>DO/2017-ANSP</t>
  </si>
  <si>
    <t>IITB ALUMNI AT MICROSOFT SCHOLARSHIP (17</t>
  </si>
  <si>
    <t>DO/2017-ANSS</t>
  </si>
  <si>
    <t>ANONYMOUS SCHOLARSHIP(196)</t>
  </si>
  <si>
    <t>DO/2017-ANYS</t>
  </si>
  <si>
    <t>DO/2017-AONS</t>
  </si>
  <si>
    <t>ASHISH PRASAD NANDI MAJUMDAR SCHOLARSHIP</t>
  </si>
  <si>
    <t>DO/2017-APMS</t>
  </si>
  <si>
    <t>Alumni Services and alumni events(191 W</t>
  </si>
  <si>
    <t>DO/2017-ASAE</t>
  </si>
  <si>
    <t>ANONYMOUS SCHOLARLSHIP (CALIFORNIA SCH)(</t>
  </si>
  <si>
    <t>DO/2017-ASCP</t>
  </si>
  <si>
    <t>DO/2017-ASHP</t>
  </si>
  <si>
    <t>ANONYMOUS SCHOLARLSHIP(CALIFORNIA SCH)(1</t>
  </si>
  <si>
    <t>DO/2017-ASLS</t>
  </si>
  <si>
    <t>ANONYMOUS SCHOLARSHIP (SUBODH GHONGE)</t>
  </si>
  <si>
    <t>DO/2017-ASSG</t>
  </si>
  <si>
    <t>DO/2017-ASSP</t>
  </si>
  <si>
    <t>DO/2017-ATKS</t>
  </si>
  <si>
    <t>DO/2017-ATSC</t>
  </si>
  <si>
    <t>ATUL THAKKAR SCHOLARSHIP(2032)(197)</t>
  </si>
  <si>
    <t>DO/2017-ATSO</t>
  </si>
  <si>
    <t>ABRAHAM THOMAS SCHOLARSHIPI</t>
  </si>
  <si>
    <t>DO/2017-ATSP</t>
  </si>
  <si>
    <t>ABRAHAM THOMAS SCHOLARSHIPII</t>
  </si>
  <si>
    <t>DO/2017-ATSS</t>
  </si>
  <si>
    <t>ARTIST VINAYAK JAVADEKAR SCHOLARSHIIP(1</t>
  </si>
  <si>
    <t>DO/2017-AVJS</t>
  </si>
  <si>
    <t>ASHOK V. KULKARNI SCHOLARSHIP(196)15 YR</t>
  </si>
  <si>
    <t>DO/2017-AVKP</t>
  </si>
  <si>
    <t>ASHOK VASANT KULKARNI SCHOLARHIP(2016</t>
  </si>
  <si>
    <t>DO/2017-AVKS</t>
  </si>
  <si>
    <t>BIJOYA CHAUDHURI SCHOLARSHIP</t>
  </si>
  <si>
    <t>DO/2017-BCSP</t>
  </si>
  <si>
    <t>BHAVESH GANDHI SCHOLARSHIP</t>
  </si>
  <si>
    <t>DO/2017-BGSH</t>
  </si>
  <si>
    <t>IITBHF SCHOLARSHIP</t>
  </si>
  <si>
    <t>DO/2017-BHF1</t>
  </si>
  <si>
    <t>IIT BHF SCHOLARSHIP</t>
  </si>
  <si>
    <t>DO/2017-BHF2</t>
  </si>
  <si>
    <t>DO/2017-BHF3</t>
  </si>
  <si>
    <t>DO/2017-BHF4</t>
  </si>
  <si>
    <t>DO/2017-BHF5</t>
  </si>
  <si>
    <t>DO/2017-BHF6</t>
  </si>
  <si>
    <t>DO/2017-BHF7</t>
  </si>
  <si>
    <t>IITBHF SCHOLARSHIP 3(196)15 YRS (2032)</t>
  </si>
  <si>
    <t>DO/2017-BHF8</t>
  </si>
  <si>
    <t>DO/2017-BHF9</t>
  </si>
  <si>
    <t>IITBHF SCHOLARSHIP 161</t>
  </si>
  <si>
    <t>DO/2017-BHFC</t>
  </si>
  <si>
    <t>IITBHF SCHOLARSHIP (179VIII)</t>
  </si>
  <si>
    <t>DO/2017-BHFI</t>
  </si>
  <si>
    <t>IITBHF SCHOLARSHIPS (2005III)</t>
  </si>
  <si>
    <t>DO/2017-BHFP</t>
  </si>
  <si>
    <t>IITBHF SCHOLARSHIPS (2005I)</t>
  </si>
  <si>
    <t>DO/2017-BHFS</t>
  </si>
  <si>
    <t>IITBHF SCHOLARSHIP (179VII)</t>
  </si>
  <si>
    <t>DO/2017-BHSC</t>
  </si>
  <si>
    <t>DO/2017-BHSP</t>
  </si>
  <si>
    <t>IITBHF SCHOLARSHIPS (2005II)</t>
  </si>
  <si>
    <t>DO/2017-BHSS</t>
  </si>
  <si>
    <t>MR. BALKRISHNA K.MUNDHE SCHOLARSHIP</t>
  </si>
  <si>
    <t>DO/2017-BKMS</t>
  </si>
  <si>
    <t>DR.B.K.TANDON SCHOLARSHIP</t>
  </si>
  <si>
    <t>DO/2017-BKTS</t>
  </si>
  <si>
    <t>1970 BATCH LEGACY PROJECT SCHOLARSHIP1</t>
  </si>
  <si>
    <t>DO/2017-BLPS</t>
  </si>
  <si>
    <t>1970 BATCH LEGACY PROJECT SCHOLARSHIP2</t>
  </si>
  <si>
    <t>DO/2017-BLSS</t>
  </si>
  <si>
    <t>BIBHA NANDI MAJUMDAR SCHOLARSHIP</t>
  </si>
  <si>
    <t>DO/2017-BNMS</t>
  </si>
  <si>
    <t>BALAJI AND PREETI SRINIVASAN SCHOLARSHIP</t>
  </si>
  <si>
    <t>DO/2017-BPSS</t>
  </si>
  <si>
    <t>IITBHF SCHOLARSHIP (175I)</t>
  </si>
  <si>
    <t>DO/2017-BSCH</t>
  </si>
  <si>
    <t>IITBHF SCHOLARSHIP (175II)</t>
  </si>
  <si>
    <t>DO/2017-BSSH</t>
  </si>
  <si>
    <t>MR.BADRUDDIN SONAWALA SCHOLARSHIP</t>
  </si>
  <si>
    <t>DO/2017-BSSP</t>
  </si>
  <si>
    <t>GREATER NY CHAPTER ALUMNI SCHOLARSHIP(17</t>
  </si>
  <si>
    <t>DO/2017-CASS</t>
  </si>
  <si>
    <t>SHRI C.K.APTE SCHOLARSHIP</t>
  </si>
  <si>
    <t>DO/2017-CKAS</t>
  </si>
  <si>
    <t>CHAMANLAL AND LABHKUNWAR KOTHARY SCHOLAR</t>
  </si>
  <si>
    <t>DO/2017-CLKS</t>
  </si>
  <si>
    <t>CMOS RF Design students with Profs. Mary</t>
  </si>
  <si>
    <t>DO/2017-CMOS</t>
  </si>
  <si>
    <t>CLASS OF 1974 SCHOLARSHIP (2016</t>
  </si>
  <si>
    <t>DO/2017-CO74</t>
  </si>
  <si>
    <t>CLASS OF 74 ANONYMOUS SCHOLARSHIP(196)1</t>
  </si>
  <si>
    <t>DO/2017-CO7A</t>
  </si>
  <si>
    <t>DEVKI &amp; BISHAN CHAND GUPTA MEMORIAL SCHO</t>
  </si>
  <si>
    <t>DO/2017-DBCG</t>
  </si>
  <si>
    <t>DR.CHANDRAKANT THANAWALA SCHOLARSHIP</t>
  </si>
  <si>
    <t>DO/2017-DCTS</t>
  </si>
  <si>
    <t>DR.VISHAKHA DOCTOR SCHOLARSHIP(198)</t>
  </si>
  <si>
    <t>DO/2017-DDSP</t>
  </si>
  <si>
    <t>DORDI FAMILY SCHOLARSHIP(198)</t>
  </si>
  <si>
    <t>DO/2017-DFSP</t>
  </si>
  <si>
    <t>DORDI FAMILY SCHOLARSHIP(196)15 YRS(203</t>
  </si>
  <si>
    <t>DO/2017-DFSY</t>
  </si>
  <si>
    <t>DIWAKAR &amp; JYOTY DHAMANKAR SCHOLARSHIP(20</t>
  </si>
  <si>
    <t>DO/2017-DJDP</t>
  </si>
  <si>
    <t>DAVID J.DUNN SCHOLARSHIP</t>
  </si>
  <si>
    <t>DO/2017-DJDS</t>
  </si>
  <si>
    <t>DEEPAK KOTWAL (1970) SCHOLARSHIP</t>
  </si>
  <si>
    <t>DO/2017-DKSH</t>
  </si>
  <si>
    <t>Dr.REMADEVI MENON SCHOLARSHIP</t>
  </si>
  <si>
    <t>DO/2017-DMSP</t>
  </si>
  <si>
    <t>Dr.REMADEVI MENON SCHOLARSHIP(196)15 YR</t>
  </si>
  <si>
    <t>DO/2017-DMSY</t>
  </si>
  <si>
    <t>DINA NATH &amp; GAYATRI NATH SCHOLARSHIP</t>
  </si>
  <si>
    <t>DO/2017-DNGS</t>
  </si>
  <si>
    <t>DIGAMBER &amp; NILIMA JOSHI AWARD</t>
  </si>
  <si>
    <t>DO/2017-DNJA</t>
  </si>
  <si>
    <t>DWARAKA NATH SHUKLO BAIDYA SCHOLARSHIP</t>
  </si>
  <si>
    <t>DO/2017-DNSS</t>
  </si>
  <si>
    <t>Donation WBS for PO Migratation</t>
  </si>
  <si>
    <t>DO/2017-DOMIGPO-001</t>
  </si>
  <si>
    <t>2017-12-29</t>
  </si>
  <si>
    <t>DILIP R.LIMAYE SCHOLARSHIP</t>
  </si>
  <si>
    <t>DO/2017-DRLS</t>
  </si>
  <si>
    <t>DR. RAMADEVI MENON SCHOLARSHIP (2016</t>
  </si>
  <si>
    <t>DO/2017-DRMD</t>
  </si>
  <si>
    <t>DR.Y.SRINIVASA RAO MEMORIAL SCHOLARSHIP(</t>
  </si>
  <si>
    <t>DO/2017-DRMS</t>
  </si>
  <si>
    <t>DEVINDEER RANDHAWA SCHOLARSHIP(196)</t>
  </si>
  <si>
    <t>DO/2017-DRSP</t>
  </si>
  <si>
    <t>DO/2017-DSCE</t>
  </si>
  <si>
    <t>DALAL SCHOLARSHIP</t>
  </si>
  <si>
    <t>DO/2017-DSCH</t>
  </si>
  <si>
    <t>DR.Y. SRINIVASA RAO MEMORIAL SCH (2016</t>
  </si>
  <si>
    <t>DO/2017-DSRM</t>
  </si>
  <si>
    <t>Devinder Singh Randhawa Scholarship (19</t>
  </si>
  <si>
    <t>DO/2017-DSRS</t>
  </si>
  <si>
    <t>D.L. SHAH TRUST SCHOLARSHIP(2017)</t>
  </si>
  <si>
    <t>DO/2017-DSTS</t>
  </si>
  <si>
    <t>ELECTRICAL ENGG. DEPARTMENT SCHOLARSHIP(</t>
  </si>
  <si>
    <t>DO/2017-EDSP</t>
  </si>
  <si>
    <t>ELE.ENGG DEPARTMENT SCHOLARSHLIP 161</t>
  </si>
  <si>
    <t>DO/2017-EEDS</t>
  </si>
  <si>
    <t>ELE.ENGG DEPARTMENT SCHOLARSHLIP 164</t>
  </si>
  <si>
    <t>DO/2017-ELES</t>
  </si>
  <si>
    <t>ELECTRICAL ENGG DEPT. SCHOLARSHIP  169</t>
  </si>
  <si>
    <t>DO/2017-ETDS</t>
  </si>
  <si>
    <t>Fianacial Aid Program (FAP)</t>
  </si>
  <si>
    <t>DO/2017-FIAP</t>
  </si>
  <si>
    <t>GRATIAN FARIAS FLIGHT ENG. MEMO. SCHO</t>
  </si>
  <si>
    <t>DO/2017-FLSC</t>
  </si>
  <si>
    <t>GUL BHUTANI SCHOLARASHIP196)15 YRS(2032</t>
  </si>
  <si>
    <t>DO/2017-GBSY</t>
  </si>
  <si>
    <t>DO/2017-GCAS</t>
  </si>
  <si>
    <t>GAJENDRA CHANDRA MALAKAR SCHOLARSHIP</t>
  </si>
  <si>
    <t>DO/2017-GCMS</t>
  </si>
  <si>
    <t>GUPTA FAMILY AND ARC SCHOLARSHIP</t>
  </si>
  <si>
    <t>DO/2017-GFSS</t>
  </si>
  <si>
    <t>GIRISH KULKARNI SCHOLARSHIP(196)</t>
  </si>
  <si>
    <t>DO/2017-GKSP</t>
  </si>
  <si>
    <t>GREATER NY CHAPTER ALUMNITHE INDIRA FOU</t>
  </si>
  <si>
    <t>DO/2017-GNAL</t>
  </si>
  <si>
    <t>DO/2017-GNCA</t>
  </si>
  <si>
    <t>GREATER NY CHAPTER ALUMNI SCHOLARSLHIP (</t>
  </si>
  <si>
    <t>DO/2017-GNCS</t>
  </si>
  <si>
    <t>PROF.G.N.REVANKAR SCHOLARSHIP</t>
  </si>
  <si>
    <t>DO/2017-GNRS</t>
  </si>
  <si>
    <t>GEORGE THARAKAN SCHOLARSHIP</t>
  </si>
  <si>
    <t>DO/2017-GTSP</t>
  </si>
  <si>
    <t>GRANDMA YESUTAI GARDE MEMORIAL SCHOLARSH</t>
  </si>
  <si>
    <t>DO/2017-GYGM</t>
  </si>
  <si>
    <t>HAR ASHA FOUNDATION SCHOLARSHIP(196)</t>
  </si>
  <si>
    <t>DO/2017-HAFS</t>
  </si>
  <si>
    <t>HIMA &amp; CHANDRAKANT C.PATEL SCHOLARSHIP(</t>
  </si>
  <si>
    <t>DO/2017-HCCS</t>
  </si>
  <si>
    <t>IITBHF Scholorship</t>
  </si>
  <si>
    <t>DO/2017-HF33</t>
  </si>
  <si>
    <t>2018-04-12</t>
  </si>
  <si>
    <t>DO/2017-HF35</t>
  </si>
  <si>
    <t>H.J.TALSANIA SCHOLARSHIP</t>
  </si>
  <si>
    <t>DO/2017-HJTS</t>
  </si>
  <si>
    <t>HIRAMAN K BHAWAR SCHOLARSHIPS CAMPUS SCH</t>
  </si>
  <si>
    <t>DO/2017-HKBS</t>
  </si>
  <si>
    <t>HIMANGSHUSHEKHAR PURKAYASTHA SCHOLARSHIP</t>
  </si>
  <si>
    <t>DO/2017-HPSP</t>
  </si>
  <si>
    <t>DO/2017-IAMS</t>
  </si>
  <si>
    <t>IITBHF SCHOLARSHIPS (2005IV)</t>
  </si>
  <si>
    <t>DO/2017-IBHF</t>
  </si>
  <si>
    <t>IITBHF SCHOLARSHIP (179II)</t>
  </si>
  <si>
    <t>DO/2017-IBHS</t>
  </si>
  <si>
    <t>IITBHF SCHOLARSHIP (175IV)</t>
  </si>
  <si>
    <t>DO/2017-IBSH</t>
  </si>
  <si>
    <t>IITBHF SCHOLARSHIP (173)</t>
  </si>
  <si>
    <t>DO/2017-IBSL</t>
  </si>
  <si>
    <t>IITBHF SCHOLARSHIP (175VII)</t>
  </si>
  <si>
    <t>DO/2017-IBSP</t>
  </si>
  <si>
    <t>IITBHF SCHOLARSHIPS (2005V)</t>
  </si>
  <si>
    <t>DO/2017-IBSS</t>
  </si>
  <si>
    <t>SMT.ILA CHANDRAKANT SHAH SCHOLARSHIP</t>
  </si>
  <si>
    <t>DO/2017-ICSS</t>
  </si>
  <si>
    <t>IITBHF SCHOLARSHIP (175III)</t>
  </si>
  <si>
    <t>DO/2017-IHFS</t>
  </si>
  <si>
    <t>IITBHF SCHOLARSHIP (175V)</t>
  </si>
  <si>
    <t>DO/2017-IISS</t>
  </si>
  <si>
    <t>IITBHF SCHOLARSHIP (179I)</t>
  </si>
  <si>
    <t>DO/2017-IITB</t>
  </si>
  <si>
    <t>IITBHF SCHOLARSHIP (175VI)</t>
  </si>
  <si>
    <t>DO/2017-IITS</t>
  </si>
  <si>
    <t>INDIRA MANUDHANE SCHOLARSHIPII</t>
  </si>
  <si>
    <t>DO/2017-IMSP</t>
  </si>
  <si>
    <t>INDRAVADAN PATEL SCHOLARSHIP(2016</t>
  </si>
  <si>
    <t>DO/2017-IPSP</t>
  </si>
  <si>
    <t>IITBHF SCHOLARSHIP (171I)</t>
  </si>
  <si>
    <t>DO/2017-ISCH</t>
  </si>
  <si>
    <t>IITBHF SCHOLARSHIP (179V)</t>
  </si>
  <si>
    <t>DO/2017-ISCP</t>
  </si>
  <si>
    <t>IITBHF SCHOLARSHIP (171II)</t>
  </si>
  <si>
    <t>DO/2017-ISHP</t>
  </si>
  <si>
    <t>IITBHF SCHOLARSHIP (179VI)</t>
  </si>
  <si>
    <t>DO/2017-ISLR</t>
  </si>
  <si>
    <t>JUSTIN BHANSALI MEMORIAL SCHOLARLSHIP</t>
  </si>
  <si>
    <t>DO/2017-JBMS</t>
  </si>
  <si>
    <t>MRS. JYOTSANA D.PENDSE MERIT SCHOLARSHIP</t>
  </si>
  <si>
    <t>DO/2017-JDMS</t>
  </si>
  <si>
    <t>JORAPUR FAMILY SCHOLARSHIP(2016</t>
  </si>
  <si>
    <t>DO/2017-JFSP</t>
  </si>
  <si>
    <t>JP SINGH SCHOLARSHIP(2016</t>
  </si>
  <si>
    <t>DO/2017-JPSP</t>
  </si>
  <si>
    <t>J.P.SINGH SCHOLARSHIP (196)15 YRS(2032)</t>
  </si>
  <si>
    <t>DO/2017-JPSS</t>
  </si>
  <si>
    <t>JAYANT SATHE SCHOLARSHIP</t>
  </si>
  <si>
    <t>DO/2017-JSSP</t>
  </si>
  <si>
    <t>JAGJIVAN UJAMSHI TALSANIA SCHOLARSHIP</t>
  </si>
  <si>
    <t>DO/2017-JUTS</t>
  </si>
  <si>
    <t>K.A.L. KAMESWARI SCHOLARSHIP(2016</t>
  </si>
  <si>
    <t>DO/2017-KALK</t>
  </si>
  <si>
    <t>KAUSHAL &amp; SHWETA PATEL SCHOLARSHIP</t>
  </si>
  <si>
    <t>DO/2017-KASP</t>
  </si>
  <si>
    <t>KIRTIKAR CLASS OF 86 SCHOLARSHIP</t>
  </si>
  <si>
    <t>DO/2017-KCO8</t>
  </si>
  <si>
    <t>KOLLU FAMILY SCHOLARSHIP(196)</t>
  </si>
  <si>
    <t>DO/2017-KFSP</t>
  </si>
  <si>
    <t>KAMATH FAMILY SCHOLARSHIP(196)15 YRS(20</t>
  </si>
  <si>
    <t>DO/2017-KFSY</t>
  </si>
  <si>
    <t>PROF.K.K.MITRA SCHOLARSHIP(193)2016</t>
  </si>
  <si>
    <t>DO/2017-KKMS</t>
  </si>
  <si>
    <t>KISHOR KULKARNI SCHOLARSHIP (THANKS TO P</t>
  </si>
  <si>
    <t>DO/2017-KKSP</t>
  </si>
  <si>
    <t>KANITKAR MERIT SCHOLARSHIP (II)</t>
  </si>
  <si>
    <t>DO/2017-KMSP</t>
  </si>
  <si>
    <t>KISHOR M.KULKARNI SCHOLARSHIP WITH THANK</t>
  </si>
  <si>
    <t>DO/2017-KMSW</t>
  </si>
  <si>
    <t>KUMAR SHAH SCHOLARSHIP2 (169)</t>
  </si>
  <si>
    <t>DO/2017-KRSH</t>
  </si>
  <si>
    <t>KUMUDINI RANADIVE SCHOLARSHIP(196)</t>
  </si>
  <si>
    <t>DO/2017-KRSP</t>
  </si>
  <si>
    <t>DO/2017-KSPS</t>
  </si>
  <si>
    <t>KUMAR SHAH SCHOLARSHIP1 (169)</t>
  </si>
  <si>
    <t>DO/2017-KSSH</t>
  </si>
  <si>
    <t>KUMAR &amp; SUSAN SHAH SCHOLARSHIP</t>
  </si>
  <si>
    <t>DO/2017-KSSP</t>
  </si>
  <si>
    <t>KASAMALI VIRANI SCHOLARSHIP</t>
  </si>
  <si>
    <t>DO/2017-KVSP</t>
  </si>
  <si>
    <t>LIONEL J.DLUNA SCHOLARSHIP</t>
  </si>
  <si>
    <t>DO/2017-LJDS</t>
  </si>
  <si>
    <t>LAKSHMI AND KADAYAM SRINIVASAN SCHOLARSH</t>
  </si>
  <si>
    <t>DO/2017-LKSS</t>
  </si>
  <si>
    <t>CLASS OF 1992 LEGACY PROJECT</t>
  </si>
  <si>
    <t>DO/2017-LP92</t>
  </si>
  <si>
    <t>LATA VIJAYAKAR SCHOLARSHIP (175I)</t>
  </si>
  <si>
    <t>DO/2017-LVKS</t>
  </si>
  <si>
    <t>LATA VIJAYAKAR SCHOLARSHIP(192 &amp;175)</t>
  </si>
  <si>
    <t>DO/2017-LVSH</t>
  </si>
  <si>
    <t>LATA VIJAYAKAR SCHOLARSHIP (175II)</t>
  </si>
  <si>
    <t>DO/2017-LVSL</t>
  </si>
  <si>
    <t>LATA VIJAYAKAR SCHOLARSHIPI</t>
  </si>
  <si>
    <t>DO/2017-LVSP</t>
  </si>
  <si>
    <t>MANORAMA I PATEL SCHOLARSHIP</t>
  </si>
  <si>
    <t>DO/2017-MAPS</t>
  </si>
  <si>
    <t>MANOHAR AND SUNITA KAMAT SCHOLARSHIPII</t>
  </si>
  <si>
    <t>DO/2017-MASS</t>
  </si>
  <si>
    <t>MENEZES FOUNDATION SCHOLARSHIP (175I)</t>
  </si>
  <si>
    <t>DO/2017-MFSH</t>
  </si>
  <si>
    <t>MENEZES FOUNDATION SCHOLARSHIP (196)15</t>
  </si>
  <si>
    <t>DO/2017-MFSP</t>
  </si>
  <si>
    <t>MENEZES FOUNDATION SCHOLARSHIP (175II)</t>
  </si>
  <si>
    <t>DO/2017-MFSS</t>
  </si>
  <si>
    <t>PROF. MADHAV GARDE MEMORIAL SCHOLARSHIP</t>
  </si>
  <si>
    <t>DO/2017-MGMS</t>
  </si>
  <si>
    <t>MR.M.G.NABAR SCHOLARSHIP</t>
  </si>
  <si>
    <t>DO/2017-MGNS</t>
  </si>
  <si>
    <t>MF WBS FOR MIGRATION PO ID 201600939/1</t>
  </si>
  <si>
    <t>DO/2017-MIGMFPO-001</t>
  </si>
  <si>
    <t>2018-01-14</t>
  </si>
  <si>
    <t>MF WBS FOR MIGRATION PO ID 201600043</t>
  </si>
  <si>
    <t>DO/2017-MIGMFPO-002</t>
  </si>
  <si>
    <t>MF WBS FOR MIGRATION PO ID 201600830/1</t>
  </si>
  <si>
    <t>DO/2017-MIGMFPO-003</t>
  </si>
  <si>
    <t>MF WBS FOR MIGRATION PO ID 201601175/1</t>
  </si>
  <si>
    <t>DO/2017-MIGMFPO-004</t>
  </si>
  <si>
    <t>Donation MigrationMultifund 201600939/1</t>
  </si>
  <si>
    <t>DO/2017-MIGMFPO-005</t>
  </si>
  <si>
    <t>2018-05-18</t>
  </si>
  <si>
    <t>Internal settlement</t>
  </si>
  <si>
    <t>DO/2017-MIGSETT</t>
  </si>
  <si>
    <t>2018-06-29</t>
  </si>
  <si>
    <t>MANORAMA I PATEL SCHOLARSHIP (2016</t>
  </si>
  <si>
    <t>DO/2017-MIPS</t>
  </si>
  <si>
    <t>MS.KAMALJIT MINHAS SCHOLARSHIP(196)</t>
  </si>
  <si>
    <t>DO/2017-MMSP</t>
  </si>
  <si>
    <t>MRS.PRABHAT.R.GOKHALE SCHOLARSHIP(196)</t>
  </si>
  <si>
    <t>DO/2017-MPGS</t>
  </si>
  <si>
    <t>Mrs.SHOBHA PINAKIN SHAH SCHOLARSHIP(196</t>
  </si>
  <si>
    <t>DO/2017-MPSS</t>
  </si>
  <si>
    <t>MADHO &amp; RADHA AGARWAL SCHOLARSHIP</t>
  </si>
  <si>
    <t>DO/2017-MRAS</t>
  </si>
  <si>
    <t>M. RADHAKRISHNA KAMATH SCHOLARSHIP</t>
  </si>
  <si>
    <t>DO/2017-MRKS</t>
  </si>
  <si>
    <t>SMT. MANIK RATNAKAR DIWAN MEMORIAL SCHOL</t>
  </si>
  <si>
    <t>DO/2017-MRMS</t>
  </si>
  <si>
    <t>MANOHAR AND SUNITA KAMAT SCHOLARSHIPI</t>
  </si>
  <si>
    <t>DO/2017-MSKS</t>
  </si>
  <si>
    <t>Mr.RAJIV SINGHAL MEMORIAL SCHOLARSHIP</t>
  </si>
  <si>
    <t>DO/2017-MSMS</t>
  </si>
  <si>
    <t>MRS.CARLOTTA SAENZ RIVERA SCHOLARSHIP(1</t>
  </si>
  <si>
    <t>DO/2017-MSRS</t>
  </si>
  <si>
    <t>MRS. MINAZ SONAWALA SCHOLARSHIP</t>
  </si>
  <si>
    <t>DO/2017-MSSP</t>
  </si>
  <si>
    <t>PROF. M.V. HARIHARAN SCHOLARSHIP</t>
  </si>
  <si>
    <t>DO/2017-MVHS</t>
  </si>
  <si>
    <t>MRS. VIMLA VORA SCHOLARSHIP(196)15 YRS(</t>
  </si>
  <si>
    <t>DO/2017-MVIV</t>
  </si>
  <si>
    <t>MUKUND VIJAYAKAR SCHOLARSHIP (II)173</t>
  </si>
  <si>
    <t>DO/2017-MVSC</t>
  </si>
  <si>
    <t>MUKUND VIJAYAKAR SCHOLARSHIP (I)173</t>
  </si>
  <si>
    <t>DO/2017-MVSH</t>
  </si>
  <si>
    <t>MUKUND VIJAYAKAR SCHOLARSHIP 169</t>
  </si>
  <si>
    <t>DO/2017-MVSP</t>
  </si>
  <si>
    <t>MRS. MEENAKSHI VISHWANATHAN SCHOLARSHIP</t>
  </si>
  <si>
    <t>DO/2017-MVVS</t>
  </si>
  <si>
    <t>MENEZES SCHOLARSHIP</t>
  </si>
  <si>
    <t>DO/2017-MZSP</t>
  </si>
  <si>
    <t>NARAYAN AND LAXMIBAI JOSHI MEMORIAL SCHO</t>
  </si>
  <si>
    <t>DO/2017-NALJ</t>
  </si>
  <si>
    <t>NAGESH C.CHAUDHURI SCHOLARSHIP</t>
  </si>
  <si>
    <t>DO/2017-NCCS</t>
  </si>
  <si>
    <t>MRS. NALINI G. NABAR SCHOLARSHIP</t>
  </si>
  <si>
    <t>DO/2017-NGNS</t>
  </si>
  <si>
    <t>NARENDRA JOSHI MERIT SCHOLARHSIP</t>
  </si>
  <si>
    <t>DO/2017-NJMS</t>
  </si>
  <si>
    <t>NARENDRA JOSHI SCHOLARSHIP(198)</t>
  </si>
  <si>
    <t>DO/2017-NJSP</t>
  </si>
  <si>
    <t>NINA MENEZES SCHOLARSHIP(196)15 YRS(203</t>
  </si>
  <si>
    <t>DO/2017-NMSY</t>
  </si>
  <si>
    <t>N.S.RAJARAMAN SCHOLARSHIP</t>
  </si>
  <si>
    <t>DO/2017-NSRS</t>
  </si>
  <si>
    <t>NIRMALABEN VISHANJI DAND SCHOLARSHIP(19</t>
  </si>
  <si>
    <t>DO/2017-NVDS</t>
  </si>
  <si>
    <t>PREETI AND BALAJI SRINIVASAN SCHOLARSHIP</t>
  </si>
  <si>
    <t>DO/2017-PABS</t>
  </si>
  <si>
    <t>PRAMOD DESAI SCHOLARSHIP(196)</t>
  </si>
  <si>
    <t>DO/2017-PDDS</t>
  </si>
  <si>
    <t>PRABHAKAR D.MAHAJAN SCHOLARSHIPI</t>
  </si>
  <si>
    <t>DO/2017-PDMS</t>
  </si>
  <si>
    <t>PRABHAKAR D.MAHAJAN SCHOLARSHIPII</t>
  </si>
  <si>
    <t>DO/2017-PDSP</t>
  </si>
  <si>
    <t>P.K.SESHAMBAL SCHOLARSHIP</t>
  </si>
  <si>
    <t>DO/2017-PKSS</t>
  </si>
  <si>
    <t>PROF.A.N.CHANDORKAR MEMORIAL SCHOLARSHI</t>
  </si>
  <si>
    <t>DO/2017-PMSP</t>
  </si>
  <si>
    <t>Purchase of consumables for Tissue Cultu</t>
  </si>
  <si>
    <t>DO/2017-PNPL247-001</t>
  </si>
  <si>
    <t>PRABHAKAR &amp; PRATIBHA MULEKAR AWARD</t>
  </si>
  <si>
    <t>DO/2017-PPMA</t>
  </si>
  <si>
    <t>PROJECT ASSET TRANSFER TO MAIN</t>
  </si>
  <si>
    <t>DO/2017-PRJASST</t>
  </si>
  <si>
    <t>2018-07-03</t>
  </si>
  <si>
    <t>DR.P.REMADEVI MENON MEMORIAL SCHOLARSHIP</t>
  </si>
  <si>
    <t>DO/2017-PRMM</t>
  </si>
  <si>
    <t>PATEL SCHOLARSHIP (2016</t>
  </si>
  <si>
    <t>DO/2017-PSCP</t>
  </si>
  <si>
    <t>PRAMOD &amp; SHANTA DESAI SCHOLARSHIP(2016</t>
  </si>
  <si>
    <t>DO/2017-PSDS</t>
  </si>
  <si>
    <t>PATEL SCHOLARSHIP(196)15 YRS2032</t>
  </si>
  <si>
    <t>DO/2017-PSYP</t>
  </si>
  <si>
    <t>RAVI AND ASHA APTE SCHOLARSHIP</t>
  </si>
  <si>
    <t>DO/2017-RAAS</t>
  </si>
  <si>
    <t>RUYINTAN E.MEHTA SCHOLARSHIP (379I)</t>
  </si>
  <si>
    <t>DO/2017-REMS</t>
  </si>
  <si>
    <t>RUYINTAN E.MEHTA SCHOLARSHIP (379II)</t>
  </si>
  <si>
    <t>DO/2017-RESP</t>
  </si>
  <si>
    <t>RAMCHANDRA.G.GOKHALE SCHOLARSHIP(196)</t>
  </si>
  <si>
    <t>DO/2017-RGGS</t>
  </si>
  <si>
    <t>RUYINTAN &amp; MONICA MEHTA FAMILLY SCH</t>
  </si>
  <si>
    <t>DO/2017-RMMF</t>
  </si>
  <si>
    <t>RUYINTAN &amp; MONICA MEHTA SCHOLARSHIP (175</t>
  </si>
  <si>
    <t>DO/2017-RMMS</t>
  </si>
  <si>
    <t>DO/2017-RMSH</t>
  </si>
  <si>
    <t>DR.RAMADEVI MENON SCHOLARSHIP (2016</t>
  </si>
  <si>
    <t>DO/2017-RMSP</t>
  </si>
  <si>
    <t>R.N. LIMAYE SCHOLARSHIP</t>
  </si>
  <si>
    <t>DO/2017-RNLS</t>
  </si>
  <si>
    <t>RUYINTAN &amp; MONICA MEHTA FAMILY SCH</t>
  </si>
  <si>
    <t>DO/2017-RNMS</t>
  </si>
  <si>
    <t>MR. &amp; MRS. RANGANATHAN SCHOLARSHIP</t>
  </si>
  <si>
    <t>DO/2017-RNSP</t>
  </si>
  <si>
    <t>R.N.VINEKAR MEMORIAL SCHOLARSHIP (2016</t>
  </si>
  <si>
    <t>DO/2017-RNVM</t>
  </si>
  <si>
    <t>RADHA RANI AGARWAL MERIT SCHOLARSHIP</t>
  </si>
  <si>
    <t>DO/2017-RRAM</t>
  </si>
  <si>
    <t>RADHIKA RAJAN WOMENS LEADERSHIP AWARD</t>
  </si>
  <si>
    <t>DO/2017-RRWL</t>
  </si>
  <si>
    <t>MR. ROOPKUMAR AGARWAL&amp; MRS. SURAJ DEVI A</t>
  </si>
  <si>
    <t>DO/2017-RSSP</t>
  </si>
  <si>
    <t>SMT.ANUSAYA KARPE SCHOLARSHIP</t>
  </si>
  <si>
    <t>DO/2017-SAKS</t>
  </si>
  <si>
    <t>SHUBHA &amp; ANAND TALWALKAR SCHOLARSHIP</t>
  </si>
  <si>
    <t>DO/2017-SATS</t>
  </si>
  <si>
    <t>SHRI AMRITLAL VORA SCHOLARSHIP(196)15 Y</t>
  </si>
  <si>
    <t>DO/2017-SAVS</t>
  </si>
  <si>
    <t>SHARDA B.SHAH SCHOLARSHIP(2016</t>
  </si>
  <si>
    <t>DO/2017-SBSP</t>
  </si>
  <si>
    <t>SHARDA B.SHAH SCHOLARSHIP</t>
  </si>
  <si>
    <t>DO/2017-SBSS</t>
  </si>
  <si>
    <t>SHARDA B.SHAH SCHOLARSHIP(196)15 YRS(20</t>
  </si>
  <si>
    <t>DO/2017-SBSY</t>
  </si>
  <si>
    <t>DO/2017-SCHO</t>
  </si>
  <si>
    <t>IITBHF SCHOLARSHIP (179III)</t>
  </si>
  <si>
    <t>DO/2017-SCHP</t>
  </si>
  <si>
    <t>IITBHF SCHOLARSHIP (179IV)</t>
  </si>
  <si>
    <t>DO/2017-SCHS</t>
  </si>
  <si>
    <t>SITABAI DATAR SCHOLARSHIP</t>
  </si>
  <si>
    <t>DO/2017-SDSC</t>
  </si>
  <si>
    <t>SOONU DADYBURJOR SCHOLARSHIP</t>
  </si>
  <si>
    <t>DO/2017-SDSP</t>
  </si>
  <si>
    <t>SHANKAR GANESH KUNDALKAR SCHOLARSHIP</t>
  </si>
  <si>
    <t>DO/2017-SGKP</t>
  </si>
  <si>
    <t>SHANKAR GANESH KUNDALKAR SCHOLARSHIP[(1)</t>
  </si>
  <si>
    <t>DO/2017-SGKS</t>
  </si>
  <si>
    <t>SHANKAR GANESH KUNDALKAR SCHOLARSHIP[(2)</t>
  </si>
  <si>
    <t>DO/2017-SGSH</t>
  </si>
  <si>
    <t>SUBODH GHONGE SCHOLARSHIP</t>
  </si>
  <si>
    <t>DO/2017-SGSP</t>
  </si>
  <si>
    <t>DO/2017-SHGK</t>
  </si>
  <si>
    <t>MR.SHANTILAL H.GORODIA SCHOLARSHIP</t>
  </si>
  <si>
    <t>DO/2017-SHGS</t>
  </si>
  <si>
    <t>SHASHANK KULKARNI SCHOLARSHIP (2016</t>
  </si>
  <si>
    <t>DO/2017-SHKP</t>
  </si>
  <si>
    <t>SCHOLARSHIP IN EXCELLENCE(196)15 YRS(20</t>
  </si>
  <si>
    <t>DO/2017-SIEY</t>
  </si>
  <si>
    <t>SHAPE INDIA SCHOLARSHIP</t>
  </si>
  <si>
    <t>DO/2017-SISP</t>
  </si>
  <si>
    <t>MR.S.J. &amp;MRS. S.S.KULKARNI SCHOLARSHIP</t>
  </si>
  <si>
    <t>DO/2017-SJKS</t>
  </si>
  <si>
    <t>SHUBHADA JOSHI SCHOLARSHIP(2032)197</t>
  </si>
  <si>
    <t>DO/2017-SJSC</t>
  </si>
  <si>
    <t>SANDESH JOSHI SCHOLARSHIP(2016</t>
  </si>
  <si>
    <t>DO/2017-SJSO</t>
  </si>
  <si>
    <t>SHUBHADA JOSHI SCHOLARSHIP</t>
  </si>
  <si>
    <t>DO/2017-SJSP</t>
  </si>
  <si>
    <t>SHUBHADA JOSHI SCHOLARSHIP(198)</t>
  </si>
  <si>
    <t>DO/2017-SJSS</t>
  </si>
  <si>
    <t>SURENDRA AND KAREN GUPTA SCHOLARSHIP</t>
  </si>
  <si>
    <t>DO/2017-SKGP</t>
  </si>
  <si>
    <t>SURENDRA K.GUPTA LRGACY SCHOLARSHIP</t>
  </si>
  <si>
    <t>DO/2017-SKGS</t>
  </si>
  <si>
    <t>SHASHANK KULKARNI SCHOLARSHIP(196)15YRS</t>
  </si>
  <si>
    <t>DO/2017-SKSC</t>
  </si>
  <si>
    <t>PROF.S.L.NARAYANAMURTHY SCHOLARSHIP(2032</t>
  </si>
  <si>
    <t>DO/2017-SLNS</t>
  </si>
  <si>
    <t>SANDRA LEE PURKAYASTHA SCHOLARSHIP</t>
  </si>
  <si>
    <t>DO/2017-SLPS</t>
  </si>
  <si>
    <t>SHUBHADA MULEKAR JOSHI AWARD</t>
  </si>
  <si>
    <t>DO/2017-SMJA</t>
  </si>
  <si>
    <t>SHRI MADHUKAR KELKAR SCHOLARSHIP(196)15</t>
  </si>
  <si>
    <t>DO/2017-SMKS</t>
  </si>
  <si>
    <t>SHREEMATI MANIK RATNAKAR DIWAN MEM SCH(2</t>
  </si>
  <si>
    <t>DO/2017-SMRM</t>
  </si>
  <si>
    <t>SANDHYA PAITHANE HOSTEL SCHOLARSHIP(201</t>
  </si>
  <si>
    <t>DO/2017-SPHS</t>
  </si>
  <si>
    <t>SPONSORS PAY IT FORWARD SCHOLARSHIP (1</t>
  </si>
  <si>
    <t>DO/2017-SPIF</t>
  </si>
  <si>
    <t>SHREE RATNAKAR HARIHAR DIWAN MEMORIAL SC</t>
  </si>
  <si>
    <t>DO/2017-SRHD</t>
  </si>
  <si>
    <t>SHRI RATNAKAR HARIHARRAO DIWAN MEM SCH(2</t>
  </si>
  <si>
    <t>DO/2017-SRHM</t>
  </si>
  <si>
    <t>SRI RAMANA MAHARISHI SCHOLARSHIP (2016</t>
  </si>
  <si>
    <t>DO/2017-SRMS</t>
  </si>
  <si>
    <t>S.RAMAMRITAM SCHOLARSHIP</t>
  </si>
  <si>
    <t>DO/2017-SRSP</t>
  </si>
  <si>
    <t>SAILI &amp; SANDEEP DESAI SCHOLARSHIP(196)</t>
  </si>
  <si>
    <t>DO/2017-SSDS</t>
  </si>
  <si>
    <t>SAMIR SHAHPRAKASH PERES MEMORIAL SCHOLA</t>
  </si>
  <si>
    <t>DO/2017-SSMS</t>
  </si>
  <si>
    <t>MR. S.S.SHIRALKAR SCHOLARSHIP</t>
  </si>
  <si>
    <t>DO/2017-SSSP</t>
  </si>
  <si>
    <t>SHANTA DESAI SCHOLARSHIP(196)</t>
  </si>
  <si>
    <t>DO/2017-STDS</t>
  </si>
  <si>
    <t>SHRIDHARBHAI TRIVEDI SCHOLARSHIP(196)</t>
  </si>
  <si>
    <t>DO/2017-STSP</t>
  </si>
  <si>
    <t>Purchase of Tools and Equipment for Lab</t>
  </si>
  <si>
    <t>DO/2017-SUMANML-001</t>
  </si>
  <si>
    <t>SUMMER PROJECT</t>
  </si>
  <si>
    <t>DO/2017-SUMP</t>
  </si>
  <si>
    <t>C. VIMALA MENON &amp; M.R.K.MENON SCHOLARSHI</t>
  </si>
  <si>
    <t>DO/2017-SVMS</t>
  </si>
  <si>
    <t>SURESH &amp; VARSHA NIHALANI SCHOLARSHIP (I)</t>
  </si>
  <si>
    <t>DO/2017-SVNS</t>
  </si>
  <si>
    <t>SURESH &amp; VARSHA NIHALANI SCHOLARSHIP (II</t>
  </si>
  <si>
    <t>DO/2017-SVSP</t>
  </si>
  <si>
    <t>SAWALI SCHOLARSHIP(196)</t>
  </si>
  <si>
    <t>DO/2017-SWLS</t>
  </si>
  <si>
    <t>Detection and sensing of arsenic in drin</t>
  </si>
  <si>
    <t>DO/2017-TATA000-001</t>
  </si>
  <si>
    <t>IITBHF SCHOLARSHIP (2007)</t>
  </si>
  <si>
    <t>DO/2017-TBHF</t>
  </si>
  <si>
    <t>T.S.R.ANAND AND BHANUMATI ANAND SCHOLARS</t>
  </si>
  <si>
    <t>DO/2017-TSRS</t>
  </si>
  <si>
    <t>TECHNISCHE UNIVERSITAT MUNCHEN</t>
  </si>
  <si>
    <t>DO/2017-TUM</t>
  </si>
  <si>
    <t>UNDERGRADUATE SCHOLARHSIP (2016</t>
  </si>
  <si>
    <t>DO/2017-UDGS</t>
  </si>
  <si>
    <t>USHA PURKAYASTHA SCHOLARSHIP</t>
  </si>
  <si>
    <t>DO/2017-UPSP</t>
  </si>
  <si>
    <t>USHA SAXENA SCHOLARSHIP(196)</t>
  </si>
  <si>
    <t>DO/2017-USSP</t>
  </si>
  <si>
    <t>VASANT HIMATLAL TALSANIA SCHOLARSHIP</t>
  </si>
  <si>
    <t>DO/2017-VHTS</t>
  </si>
  <si>
    <t>V.V.KRISHNAN SCHOLARSHIP</t>
  </si>
  <si>
    <t>DO/2017-VKNS</t>
  </si>
  <si>
    <t>VIRENDRA KUMAR SCHOLARSHIP</t>
  </si>
  <si>
    <t>DO/2017-VKSP</t>
  </si>
  <si>
    <t>VINOD MENON SCHOLARSHIP (2016</t>
  </si>
  <si>
    <t>DO/2017-VMEN</t>
  </si>
  <si>
    <t>VINOD MENON SCHOLARSHIP</t>
  </si>
  <si>
    <t>DO/2017-VMES</t>
  </si>
  <si>
    <t>DO/2017-VMSP</t>
  </si>
  <si>
    <t>VINOD MENON SCHOLARSHIP(196)15 YRS(2032</t>
  </si>
  <si>
    <t>DO/2017-VMSY</t>
  </si>
  <si>
    <t>VIJAYA PATIL SCHOLARSHIP</t>
  </si>
  <si>
    <t>DO/2017-VPSS</t>
  </si>
  <si>
    <t>VIDHYADHAR AND RADHIKA KULKARNI SCHOLARS</t>
  </si>
  <si>
    <t>DO/2017-VRKS</t>
  </si>
  <si>
    <t>DO/2017-VVKP</t>
  </si>
  <si>
    <t>DO/2017-VVKR</t>
  </si>
  <si>
    <t>DO/2017-VVKS</t>
  </si>
  <si>
    <t>year 2 funds</t>
  </si>
  <si>
    <t>DO/2017-WRCB446-005</t>
  </si>
  <si>
    <t>DR. Y.SRINIVASA RAO MEMORIAL SCHOLARSHIP</t>
  </si>
  <si>
    <t>DO/2017-YSMS</t>
  </si>
  <si>
    <t>AIR INDIA EXPRESS LTD.TWDS TREATMENT OF</t>
  </si>
  <si>
    <t>DO/2018-AIEX</t>
  </si>
  <si>
    <t>2018-03-31</t>
  </si>
  <si>
    <t>PROF BISWAS SCHOLARSHIP FUND</t>
  </si>
  <si>
    <t>DO/2018-BISF</t>
  </si>
  <si>
    <t>2018-04-27</t>
  </si>
  <si>
    <t>DO/2018-BISW</t>
  </si>
  <si>
    <t>2018-04-26</t>
  </si>
  <si>
    <t>Charities Aid Foundation India</t>
  </si>
  <si>
    <t>DO/2018-CAFI</t>
  </si>
  <si>
    <t>2018-02-02</t>
  </si>
  <si>
    <t>CHAKRA</t>
  </si>
  <si>
    <t>DO/2018-CHKR</t>
  </si>
  <si>
    <t>2019-01-07</t>
  </si>
  <si>
    <t>MemshpFund of Cntr of Excel in Steel Tec</t>
  </si>
  <si>
    <t>DO/2018-COEST</t>
  </si>
  <si>
    <t>CSR STUDY UNIT DPEIITB PROJECT</t>
  </si>
  <si>
    <t>DO/2018-DPEIITB</t>
  </si>
  <si>
    <t>2018-02-27</t>
  </si>
  <si>
    <t>FINANCIAL AID PROGRAM</t>
  </si>
  <si>
    <t>DO/2018-FAPR</t>
  </si>
  <si>
    <t>Gandhi Global Solar Yatrafor energy sel</t>
  </si>
  <si>
    <t>DO/2018-GGSY</t>
  </si>
  <si>
    <t>2018-11-21</t>
  </si>
  <si>
    <t>GYMKHANA PERFORMING ARTS AWARD</t>
  </si>
  <si>
    <t>DO/2018-GPAA</t>
  </si>
  <si>
    <t>2018-12-18</t>
  </si>
  <si>
    <t>INDIAN FINANCIAL TECH &amp; ALLIED SERVICES</t>
  </si>
  <si>
    <t>DO/2018-IFTA</t>
  </si>
  <si>
    <t>2018-03-30</t>
  </si>
  <si>
    <t>IITB INNOVATE</t>
  </si>
  <si>
    <t>DO/2018-INNO</t>
  </si>
  <si>
    <t>J&amp;K STUDENT VISIT SPONSORED BY IDEA CEL</t>
  </si>
  <si>
    <t>DO/2018-JKVI</t>
  </si>
  <si>
    <t>2018-07-05</t>
  </si>
  <si>
    <t>J P MORGAN SERVICESFUNDS FOR PROF.PATHA</t>
  </si>
  <si>
    <t>DO/2018-JPMS</t>
  </si>
  <si>
    <t>2018-03-13</t>
  </si>
  <si>
    <t>CLASS OF 1993 LEGACY PROJECT</t>
  </si>
  <si>
    <t>DO/2018-LP93</t>
  </si>
  <si>
    <t>MARS ROVER PROJECTAERO ENGG DEPTT</t>
  </si>
  <si>
    <t>DO/2018-MARS</t>
  </si>
  <si>
    <t>2018-05-16</t>
  </si>
  <si>
    <t>Mrs.Charusheela Dange AwardENGG PHYSICS</t>
  </si>
  <si>
    <t>DO/2018-MCDA</t>
  </si>
  <si>
    <t>2018-10-31</t>
  </si>
  <si>
    <t>MOHAN KAVRIE IIT BOMBAY ALUMNI CENTRE</t>
  </si>
  <si>
    <t>MANORAMA SINHA ACADEMIC EXCELLENCE AWARD</t>
  </si>
  <si>
    <t>DO/2018-MSAE</t>
  </si>
  <si>
    <t>2018-07-10</t>
  </si>
  <si>
    <t>Gold undergraduate scholarship</t>
  </si>
  <si>
    <t>DO/2018-NGUS</t>
  </si>
  <si>
    <t>Platinum undergraduate Scholarship</t>
  </si>
  <si>
    <t>DO/2018-NPUS</t>
  </si>
  <si>
    <t>PRADEEP JAIPURIA AWD BEST UG DSGN PROJ</t>
  </si>
  <si>
    <t>DO/2018-PJA</t>
  </si>
  <si>
    <t>prabhakar&amp;Madhavi Tole SCHO</t>
  </si>
  <si>
    <t>DO/2018-PMTS</t>
  </si>
  <si>
    <t>RAMESH CHANDRA SINHA ACADEMIC EXCELLENCE</t>
  </si>
  <si>
    <t>DO/2018-RCSA</t>
  </si>
  <si>
    <t>2018-06-27</t>
  </si>
  <si>
    <t>RESEARCH WORK CONDUCTED BY PROF UMESH BE</t>
  </si>
  <si>
    <t>DO/2018-RWUB</t>
  </si>
  <si>
    <t>SAC DEVELOPMENT FUND</t>
  </si>
  <si>
    <t>DO/2018-SACF</t>
  </si>
  <si>
    <t>2018-12-12</t>
  </si>
  <si>
    <t>SHRI DHOOTPAPESHWAR LTD.RESEARCH ON AYU</t>
  </si>
  <si>
    <t>DO/2018-SDLP</t>
  </si>
  <si>
    <t>2018-11-05</t>
  </si>
  <si>
    <t>Summer field program</t>
  </si>
  <si>
    <t>DO/2018-SFBP</t>
  </si>
  <si>
    <t>RESEARCH WORK BY PROF S MAHAPATRA EE DEP</t>
  </si>
  <si>
    <t>DO/2018-SMEE</t>
  </si>
  <si>
    <t>Spoken Tutorial Program Lessons</t>
  </si>
  <si>
    <t>DO/2018-STPL</t>
  </si>
  <si>
    <t>SECURITY WELFARE FUND</t>
  </si>
  <si>
    <t>DO/2018-SWFD</t>
  </si>
  <si>
    <t>2018-12-17</t>
  </si>
  <si>
    <t>VILAS KARNIK FUND</t>
  </si>
  <si>
    <t>DO/2018-VKF</t>
  </si>
  <si>
    <t>WATER PURIFICATION PROJ BY PROF.C SUBRAM</t>
  </si>
  <si>
    <t>DO/2018-WPCH</t>
  </si>
  <si>
    <t>WATER SANITATION DRAINAGE SOLID WASTE</t>
  </si>
  <si>
    <t>DO/2018-WSDS</t>
  </si>
  <si>
    <t>Principal Mrs. Alpana Bhagwat (Scholarsh</t>
  </si>
  <si>
    <t>DO/2019-ALBS</t>
  </si>
  <si>
    <t>2019-12-05</t>
  </si>
  <si>
    <t>Ms. Alpana Bhagwat Campus School</t>
  </si>
  <si>
    <t>DO/2019-ALBT</t>
  </si>
  <si>
    <t>Dr. Ajit Mal Singhvi Award</t>
  </si>
  <si>
    <t>DO/2019-AMSA</t>
  </si>
  <si>
    <t>CSR Funding for Arista Networks</t>
  </si>
  <si>
    <t>DO/2019-ARNK</t>
  </si>
  <si>
    <t>2020-02-27</t>
  </si>
  <si>
    <t>Baishnab and Kasturi Acad Excellence Awd</t>
  </si>
  <si>
    <t>DO/2019-BKAE</t>
  </si>
  <si>
    <t>BOEING DONATION FOR AEROSPACE DEPT.</t>
  </si>
  <si>
    <t>DO/2019-BONG</t>
  </si>
  <si>
    <t>2018-01-11</t>
  </si>
  <si>
    <t>BP INTERNATIONAL LTD</t>
  </si>
  <si>
    <t>DO/2019-BPIL</t>
  </si>
  <si>
    <t>DEPT. OF CIVIL ENGG  CSR Fund</t>
  </si>
  <si>
    <t>DO/2019-CECR</t>
  </si>
  <si>
    <t>2019-01-09</t>
  </si>
  <si>
    <t>DEPT. OF CIVIL ENGG.  NEW FUND</t>
  </si>
  <si>
    <t>DO/2019-CEDF</t>
  </si>
  <si>
    <t>CTARAGIS IN SOCIAL SCIENCE RESEARCH</t>
  </si>
  <si>
    <t>DO/2019-CGSS</t>
  </si>
  <si>
    <t>2019-06-26</t>
  </si>
  <si>
    <t>Diamond Jubilee child nutrition centre</t>
  </si>
  <si>
    <t>DO/2019-CHIN</t>
  </si>
  <si>
    <t>2019-12-31</t>
  </si>
  <si>
    <t/>
  </si>
  <si>
    <t>DO/2019-CSRF</t>
  </si>
  <si>
    <t>CSR Funding for Racing Team</t>
  </si>
  <si>
    <t>DO/2019-CSRT</t>
  </si>
  <si>
    <t>2020-02-18</t>
  </si>
  <si>
    <t>NEW DEAN ACR OFFICE SPACE</t>
  </si>
  <si>
    <t>DO/2019-DACR</t>
  </si>
  <si>
    <t>DJ Scholarship to the meritorious child</t>
  </si>
  <si>
    <t>DO/2019-DJSS</t>
  </si>
  <si>
    <t>2020-03-11</t>
  </si>
  <si>
    <t>DESAI SARKAR SCHOLARSHIP</t>
  </si>
  <si>
    <t>DO/2019-DSSC</t>
  </si>
  <si>
    <t>Manohar ParrikarCHAIR FOR GOOD GOVERNAN</t>
  </si>
  <si>
    <t>DO/2019-ECGG</t>
  </si>
  <si>
    <t>Empowering Tribal Communities</t>
  </si>
  <si>
    <t>DO/2019-EPTC</t>
  </si>
  <si>
    <t>2019-05-23</t>
  </si>
  <si>
    <t>Faculty and Staff LongueProject</t>
  </si>
  <si>
    <t>DO/2019-FSLP</t>
  </si>
  <si>
    <t>2020-02-17</t>
  </si>
  <si>
    <t>Hostel 3 &amp; 6</t>
  </si>
  <si>
    <t>DO/2019-HSRP</t>
  </si>
  <si>
    <t>2020-02-05</t>
  </si>
  <si>
    <t>Huawel Tech. India Pvt. Ltd.</t>
  </si>
  <si>
    <t>DO/2019-HTIP</t>
  </si>
  <si>
    <t>2019-12-19</t>
  </si>
  <si>
    <t>ICOS IITB FUND</t>
  </si>
  <si>
    <t>DO/2019-ICOS</t>
  </si>
  <si>
    <t>2019-07-05</t>
  </si>
  <si>
    <t>IDC GOLDEN JUBILEE</t>
  </si>
  <si>
    <t>DO/2019-IDGJ</t>
  </si>
  <si>
    <t>Industrial Engg and operation research</t>
  </si>
  <si>
    <t>DO/2019-IEOR</t>
  </si>
  <si>
    <t>Support innovation INHealth CareMobility</t>
  </si>
  <si>
    <t>DO/2019-IHCM</t>
  </si>
  <si>
    <t>2019-05-24</t>
  </si>
  <si>
    <t>INDIAN NATIONAL ACADEMY OF ENG Char Prof</t>
  </si>
  <si>
    <t>DO/2019-INAE</t>
  </si>
  <si>
    <t>Industryoriented Skill Development</t>
  </si>
  <si>
    <t>DO/2019-IOSD</t>
  </si>
  <si>
    <t>2020-01-17</t>
  </si>
  <si>
    <t>AERO DEPT building of a computational fa</t>
  </si>
  <si>
    <t>DO/2019-JLCF</t>
  </si>
  <si>
    <t>2019-09-19</t>
  </si>
  <si>
    <t>Class of 200910 Legacy Project</t>
  </si>
  <si>
    <t>DO/2019-LP09</t>
  </si>
  <si>
    <t>2019-12-27</t>
  </si>
  <si>
    <t>CLASS OF 1994 LEGACY PROJECT</t>
  </si>
  <si>
    <t>DO/2019-LP94</t>
  </si>
  <si>
    <t>2019-08-26</t>
  </si>
  <si>
    <t>Metallurical &amp; Materials Sci. Engg Dept</t>
  </si>
  <si>
    <t>DO/2019-MMSD</t>
  </si>
  <si>
    <t>2019-12-30</t>
  </si>
  <si>
    <t>NMIL SPONSORSHIP FOR R&amp;D ACTIVITIES</t>
  </si>
  <si>
    <t>DO/2019-NMIL</t>
  </si>
  <si>
    <t>N R KAMATH MEMORIAL SCHOLARSHIP</t>
  </si>
  <si>
    <t>DO/2019-NRSP</t>
  </si>
  <si>
    <t>NAMED SCHOLARSHIP</t>
  </si>
  <si>
    <t>DO/2019-NSCH</t>
  </si>
  <si>
    <t>Organic Chemistry Summer Camp(OCSS2020)</t>
  </si>
  <si>
    <t>DO/2019-OCSC</t>
  </si>
  <si>
    <t>Portescap project for CSR activity</t>
  </si>
  <si>
    <t>DO/2019-PORT</t>
  </si>
  <si>
    <t>2019-05-09</t>
  </si>
  <si>
    <t>QUALCOMM FOUNDATION to support Research</t>
  </si>
  <si>
    <t>DO/2019-QUAL</t>
  </si>
  <si>
    <t>2020-03-17</t>
  </si>
  <si>
    <t>EndowmentRASIKLAL HEMANI FRAGRANCE LAB</t>
  </si>
  <si>
    <t>DO/2019-RHFA</t>
  </si>
  <si>
    <t>2019-11-06</t>
  </si>
  <si>
    <t>RISE  Rural Immersion Program</t>
  </si>
  <si>
    <t>DO/2019-RISE</t>
  </si>
  <si>
    <t>2019-03-06</t>
  </si>
  <si>
    <t>PROF R SUBRAHMONIA AYYAR ACADEMIC AWD</t>
  </si>
  <si>
    <t>DO/2019-SAAE</t>
  </si>
  <si>
    <t>SAATHI CLUB</t>
  </si>
  <si>
    <t>DO/2019-SATH</t>
  </si>
  <si>
    <t>SCHOLARSHIP 92 LEGACY PROJECT:</t>
  </si>
  <si>
    <t>DO/2019-SC92</t>
  </si>
  <si>
    <t>SEED SUPPORT</t>
  </si>
  <si>
    <t>DO/2019-SEED</t>
  </si>
  <si>
    <t>Teaching EMBA Fees by SOM Faculty</t>
  </si>
  <si>
    <t>DO/2019-SOMF</t>
  </si>
  <si>
    <t>STUDENT WELNESS PROGRAMME</t>
  </si>
  <si>
    <t>DO/2019-SWPG</t>
  </si>
  <si>
    <t>2019-03-19</t>
  </si>
  <si>
    <t>TRAINING SESSION ON IRON MAKING</t>
  </si>
  <si>
    <t>DO/2019-TSIM</t>
  </si>
  <si>
    <t>2020-04-11</t>
  </si>
  <si>
    <t>UDAY ATHAVANKAR PRIZE for CUSTOMER Centr</t>
  </si>
  <si>
    <t>DO/2019-UACC</t>
  </si>
  <si>
    <t>2019-02-18</t>
  </si>
  <si>
    <t>UMIC Fund</t>
  </si>
  <si>
    <t>DO/2019-UMIC</t>
  </si>
  <si>
    <t>2019-12-23</t>
  </si>
  <si>
    <t>WELLWISHER</t>
  </si>
  <si>
    <t>DO/2019-WELW</t>
  </si>
  <si>
    <t>2019-04-03</t>
  </si>
  <si>
    <t>Batch of 2020 Project</t>
  </si>
  <si>
    <t>DO/2020-BO20</t>
  </si>
  <si>
    <t>2020-08-14</t>
  </si>
  <si>
    <t>COVID  19  ASSISTANCE</t>
  </si>
  <si>
    <t>DO/2020-C19A</t>
  </si>
  <si>
    <t>2020-06-02</t>
  </si>
  <si>
    <t>Class of 1970 Covid19 Ventilator Devlop</t>
  </si>
  <si>
    <t>DO/2020-C19V</t>
  </si>
  <si>
    <t>2020-05-15</t>
  </si>
  <si>
    <t>Class of 1995 Legacy Project</t>
  </si>
  <si>
    <t>DO/2020-C95L</t>
  </si>
  <si>
    <t>CAF AMERICA</t>
  </si>
  <si>
    <t>DO/2020-CAFA</t>
  </si>
  <si>
    <t>2020-08-12</t>
  </si>
  <si>
    <t>Collaborating with IITB in testing the I</t>
  </si>
  <si>
    <t>DO/2020-CIIT</t>
  </si>
  <si>
    <t>2020-09-02</t>
  </si>
  <si>
    <t>Contract laborer supporting Fund</t>
  </si>
  <si>
    <t>DO/2020-CLSF</t>
  </si>
  <si>
    <t>2020-05-11</t>
  </si>
  <si>
    <t>Welfare of Campus Community Animals at I</t>
  </si>
  <si>
    <t>DO/2020-CWAI</t>
  </si>
  <si>
    <t>2020-06-12</t>
  </si>
  <si>
    <t>Project Definition DO/2020DERC</t>
  </si>
  <si>
    <t>DO/2020-DERC</t>
  </si>
  <si>
    <t>2020-12-01</t>
  </si>
  <si>
    <t>Elnet Technologies Fellowship</t>
  </si>
  <si>
    <t>DO/2020-ECSR</t>
  </si>
  <si>
    <t>Executive Education FloorSJSOM</t>
  </si>
  <si>
    <t>DO/2020-EEFS</t>
  </si>
  <si>
    <t>2020-08-17</t>
  </si>
  <si>
    <t>FOSSEEA Niti Aayog driven project</t>
  </si>
  <si>
    <t>DO/2020-FOSS</t>
  </si>
  <si>
    <t>2020-12-16</t>
  </si>
  <si>
    <t>Huawei CSR scholarship</t>
  </si>
  <si>
    <t>DO/2020-HCSR</t>
  </si>
  <si>
    <t>2020-10-05</t>
  </si>
  <si>
    <t>Hospital (DO/2020HOSP)  To purchase Xr</t>
  </si>
  <si>
    <t>DO/2020-HOSP</t>
  </si>
  <si>
    <t>2021-02-17</t>
  </si>
  <si>
    <t>IIT BHF GRANTS</t>
  </si>
  <si>
    <t>DO/2020-IITBHF0</t>
  </si>
  <si>
    <t>2020-07-17</t>
  </si>
  <si>
    <t>Reconvergence: Class of 1995 Legacy Proj</t>
  </si>
  <si>
    <t>DO/2020-LP95</t>
  </si>
  <si>
    <t>2021-01-12</t>
  </si>
  <si>
    <t>Parveen Industries Pvt. Ltd  CSR</t>
  </si>
  <si>
    <t>DO/2020-PIPL</t>
  </si>
  <si>
    <t>Sukhada Ravindra Suki Scholarship</t>
  </si>
  <si>
    <t>DO/2020-SRSS</t>
  </si>
  <si>
    <t>2020-10-23</t>
  </si>
  <si>
    <t>Scholarship from Batch of 1994</t>
  </si>
  <si>
    <t>DO/2020-SS94</t>
  </si>
  <si>
    <t>Supporting Students with IT Hardware for</t>
  </si>
  <si>
    <t>DO/2020-SSIH</t>
  </si>
  <si>
    <t>2020-06-29</t>
  </si>
  <si>
    <t>SoftTech Engineers Limited CSR</t>
  </si>
  <si>
    <t>DO/2020-STEL</t>
  </si>
  <si>
    <t>To support the development of 5 Spoken T</t>
  </si>
  <si>
    <t>DO/2020-STHP</t>
  </si>
  <si>
    <t>2020-07-21</t>
  </si>
  <si>
    <t>Tata Consulting Engineers Ltd CSR</t>
  </si>
  <si>
    <t>DO/2020-TCEL</t>
  </si>
  <si>
    <t>TIDE WATER OIL CO. (I) LTD (CSR)</t>
  </si>
  <si>
    <t>DO/2020-TWOC</t>
  </si>
  <si>
    <t>Unidentified Donation</t>
  </si>
  <si>
    <t>DO/2020-UNDN</t>
  </si>
  <si>
    <t>2021-03-18</t>
  </si>
  <si>
    <t>Varadarajan and Mythili Chari Fund</t>
  </si>
  <si>
    <t>DO/2020-VMCF</t>
  </si>
  <si>
    <t>Prof. A. K. De Chair(Prof. of practice)</t>
  </si>
  <si>
    <t>DO/2021-AKDC</t>
  </si>
  <si>
    <t>2021-01-20</t>
  </si>
  <si>
    <t>Women Enterpreneurship Programme</t>
  </si>
  <si>
    <t>DO/2021-CHIK</t>
  </si>
  <si>
    <t>2022-01-04</t>
  </si>
  <si>
    <t>Cherish IITB</t>
  </si>
  <si>
    <t>DO/2021-CIIB</t>
  </si>
  <si>
    <t>Grant 228: Prof. Srinivasan Ramakrishna</t>
  </si>
  <si>
    <t>DO/2021-CPSR</t>
  </si>
  <si>
    <t>EERI Student Chapter  Civil Department</t>
  </si>
  <si>
    <t>DO/2021-EERI</t>
  </si>
  <si>
    <t>Class of 71 Golden Jubilee Fund</t>
  </si>
  <si>
    <t>DO/2021-GJ71</t>
  </si>
  <si>
    <t>Project for Girls Students  Hindustan F</t>
  </si>
  <si>
    <t>DO/2021-GLSD</t>
  </si>
  <si>
    <t>2021-09-20</t>
  </si>
  <si>
    <t>IIT Alumni Association UK</t>
  </si>
  <si>
    <t>DO/2021-IAAU</t>
  </si>
  <si>
    <t>Institute Infrastructure Development Poo</t>
  </si>
  <si>
    <t>DO/2021-IIDP</t>
  </si>
  <si>
    <t>2021-12-22</t>
  </si>
  <si>
    <t>INFRA_ENDOWMENTKCDH</t>
  </si>
  <si>
    <t>DO/2021-KCDI</t>
  </si>
  <si>
    <t>2024-01-23</t>
  </si>
  <si>
    <t>Kirat Patel  Hostel 8 Re Building</t>
  </si>
  <si>
    <t>DO/2021-KPH8</t>
  </si>
  <si>
    <t>Learning Languages Through Stories</t>
  </si>
  <si>
    <t>DO/2021-LLTS</t>
  </si>
  <si>
    <t>Research project under prof. Bakul Rao o</t>
  </si>
  <si>
    <t>DO/2021-MAST</t>
  </si>
  <si>
    <t>INOX  Sch for 5 Btech Mech Students</t>
  </si>
  <si>
    <t>DO/2021-MCMB</t>
  </si>
  <si>
    <t>2021-09-24</t>
  </si>
  <si>
    <t>Grant 228: Micron Foundation towards th</t>
  </si>
  <si>
    <t>DO/2021-MFSA</t>
  </si>
  <si>
    <t>Museum &amp; Arts at IITB</t>
  </si>
  <si>
    <t>DO/2021-MUSA</t>
  </si>
  <si>
    <t>Dissemination of Natural fiber watertan</t>
  </si>
  <si>
    <t>DO/2021-NBCL</t>
  </si>
  <si>
    <t>2022-02-23</t>
  </si>
  <si>
    <t>NATIONAL CENTER FOR MATHEMATICS  ENDOWM</t>
  </si>
  <si>
    <t>DO/2021-NCFE</t>
  </si>
  <si>
    <t>Procuring the equipment required to cond</t>
  </si>
  <si>
    <t>DO/2021-NPLR</t>
  </si>
  <si>
    <t>2021-12-16</t>
  </si>
  <si>
    <t>Our Drone as Urban Air Ambulance</t>
  </si>
  <si>
    <t>DO/2021-ODUA</t>
  </si>
  <si>
    <t>ProjectCSR Penam Labs Ltd.</t>
  </si>
  <si>
    <t>DO/2021-PENM</t>
  </si>
  <si>
    <t>Setting up Cryogenics Chair(wbs not used</t>
  </si>
  <si>
    <t>DO/2021-SCCI</t>
  </si>
  <si>
    <t>2022-01-13</t>
  </si>
  <si>
    <t>DO/2021-SCLI</t>
  </si>
  <si>
    <t>Artificial Intelligence Techniques in Pr</t>
  </si>
  <si>
    <t>DO/2021-SCPL</t>
  </si>
  <si>
    <t>Grant 228: Partial exit of Webaroo/Gups</t>
  </si>
  <si>
    <t>DO/2021-SINE</t>
  </si>
  <si>
    <t>Summer Internship Program</t>
  </si>
  <si>
    <t>DO/2021-SITP</t>
  </si>
  <si>
    <t>For TCA2I Center Operations</t>
  </si>
  <si>
    <t>DO/2021-TCAO</t>
  </si>
  <si>
    <t>2023-01-17</t>
  </si>
  <si>
    <t>ZTE Telecom India Scholarship</t>
  </si>
  <si>
    <t>DO/2021-ZTIP</t>
  </si>
  <si>
    <t>Donation to Adventure club wall climbing</t>
  </si>
  <si>
    <t>DO/2022-AAVH</t>
  </si>
  <si>
    <t>Auto Clay Lab</t>
  </si>
  <si>
    <t>DO/2022-ACLA</t>
  </si>
  <si>
    <t>CDSL Investor Protection Fund Sponsorshi</t>
  </si>
  <si>
    <t>DO/2022-CDSL</t>
  </si>
  <si>
    <t>2022-10-27</t>
  </si>
  <si>
    <t>University Block chain Research Initiati</t>
  </si>
  <si>
    <t>DO/2022-CISC</t>
  </si>
  <si>
    <t>2022-11-01</t>
  </si>
  <si>
    <t>Centre Donation</t>
  </si>
  <si>
    <t>DO/2022-CNTR</t>
  </si>
  <si>
    <t>DC office Jashpur Chhattisgarh : Expo</t>
  </si>
  <si>
    <t>DO/2022-DCJC</t>
  </si>
  <si>
    <t>2022-12-06</t>
  </si>
  <si>
    <t>IOE FUND</t>
  </si>
  <si>
    <t>DO/2022-DIOE</t>
  </si>
  <si>
    <t>Donation Fellowship Pool</t>
  </si>
  <si>
    <t>DO/2022-FLSP</t>
  </si>
  <si>
    <t>IIT Bombay Racing Team</t>
  </si>
  <si>
    <t>DO/2022-IBRT</t>
  </si>
  <si>
    <t>2022-06-03</t>
  </si>
  <si>
    <t>Impact Assessment</t>
  </si>
  <si>
    <t>DO/2022-IMPA</t>
  </si>
  <si>
    <t>Class of 201011 Legacy Project</t>
  </si>
  <si>
    <t>DO/2022-LP10</t>
  </si>
  <si>
    <t>CLASS OF 1966 LEGACY PROJECT</t>
  </si>
  <si>
    <t>DO/2022-LP66</t>
  </si>
  <si>
    <t>2022-07-18</t>
  </si>
  <si>
    <t>Mainak Das Excellence in Publication Awa</t>
  </si>
  <si>
    <t>DO/2022-MDEP</t>
  </si>
  <si>
    <t>2023-02-15</t>
  </si>
  <si>
    <t>Prashant Dave Best Ph.D. Thesis Award</t>
  </si>
  <si>
    <t>DO/2022-PDBP</t>
  </si>
  <si>
    <t>The Activities of IITB Campus Temple</t>
  </si>
  <si>
    <t>DO/2022-SDPT</t>
  </si>
  <si>
    <t>Student Scholarships CTARA</t>
  </si>
  <si>
    <t>DO/2022-SSRA</t>
  </si>
  <si>
    <t>Water Quality Testing</t>
  </si>
  <si>
    <t>DO/2022-WAQT</t>
  </si>
  <si>
    <t>2022-09-09</t>
  </si>
  <si>
    <t>WISE (Women in Science and Engineering f</t>
  </si>
  <si>
    <t>DO/2022-WISE</t>
  </si>
  <si>
    <t>2023-03-13</t>
  </si>
  <si>
    <t>Mission mode projects in COEOGE</t>
  </si>
  <si>
    <t>DO/2023-COEG</t>
  </si>
  <si>
    <t>All Department</t>
  </si>
  <si>
    <t>DO/2023-DEPT</t>
  </si>
  <si>
    <t>2023-06-30</t>
  </si>
  <si>
    <t>Undergraduate Electronics Design Lab</t>
  </si>
  <si>
    <t>DO/2023-EDLB</t>
  </si>
  <si>
    <t>Educational Technology Alumni Legacy Fun</t>
  </si>
  <si>
    <t>DO/2023-ETAL</t>
  </si>
  <si>
    <t>Flipkart Internet Pvt. Ltd. (Unrestricte</t>
  </si>
  <si>
    <t>DO/2023-FLPK</t>
  </si>
  <si>
    <t>PHD Student Scholarship</t>
  </si>
  <si>
    <t>DO/2023-FMFP</t>
  </si>
  <si>
    <t>2023-07-11</t>
  </si>
  <si>
    <t>The Hongkong &amp; Shanghai Banking Corporat</t>
  </si>
  <si>
    <t>DO/2023-HSBC</t>
  </si>
  <si>
    <t>2023-10-10</t>
  </si>
  <si>
    <t>TDS Deduction Against Donation</t>
  </si>
  <si>
    <t>DO/2023-ITDS</t>
  </si>
  <si>
    <t>2023-11-14</t>
  </si>
  <si>
    <t>DO/2023-KCOR</t>
  </si>
  <si>
    <t>Keva Fragrances Private Limited</t>
  </si>
  <si>
    <t>DO/2023-KEVA</t>
  </si>
  <si>
    <t>2024-04-05</t>
  </si>
  <si>
    <t>Class of 2020 Legacy Project</t>
  </si>
  <si>
    <t>DO/2023-LP20</t>
  </si>
  <si>
    <t>Class of 1965 Legacy Project</t>
  </si>
  <si>
    <t>DO/2023-LP65</t>
  </si>
  <si>
    <t>Class of 1967 Legacy Project</t>
  </si>
  <si>
    <t>DO/2023-LP67</t>
  </si>
  <si>
    <t>2023-07-13</t>
  </si>
  <si>
    <t>Class of 1983 Legacy Project</t>
  </si>
  <si>
    <t>DO/2023-LP83</t>
  </si>
  <si>
    <t>Class of 1984 legacy project</t>
  </si>
  <si>
    <t>DO/2023-LP84</t>
  </si>
  <si>
    <t>Mazagon Dock Shipbuilders Limited</t>
  </si>
  <si>
    <t>DO/2023-MDSL</t>
  </si>
  <si>
    <t>Netcore Cloud Pvt. Ltd.I2I ( IP to IPO)</t>
  </si>
  <si>
    <t>DO/2023-NETC</t>
  </si>
  <si>
    <t>For OSD Salaries</t>
  </si>
  <si>
    <t>DO/2023-OSDS</t>
  </si>
  <si>
    <t>2023-05-02</t>
  </si>
  <si>
    <t>PostDoctoral Research Fellowship For Re</t>
  </si>
  <si>
    <t>DO/2023-PDRF</t>
  </si>
  <si>
    <t>RECYCLED POLYMER COMPOSITE PANELS FROM P</t>
  </si>
  <si>
    <t>DO/2023-PRLE</t>
  </si>
  <si>
    <t>Rajesh C. Jain  I2I ( IP to IPO) – supp</t>
  </si>
  <si>
    <t>DO/2023-RAJJ</t>
  </si>
  <si>
    <t>Rangaswamy Pathulothu Donation</t>
  </si>
  <si>
    <t>DO/2023-RANG</t>
  </si>
  <si>
    <t>2023-04-15</t>
  </si>
  <si>
    <t>RexTone Industries Limited</t>
  </si>
  <si>
    <t>DO/2023-REXT</t>
  </si>
  <si>
    <t>Prof S. H. Patil Lecture Series</t>
  </si>
  <si>
    <t>DO/2023-SHPL</t>
  </si>
  <si>
    <t>2023-07-12</t>
  </si>
  <si>
    <t>SOM National Alumni Meet (NAM)</t>
  </si>
  <si>
    <t>DO/2023-SOMA</t>
  </si>
  <si>
    <t>Advanced Battery Technologies</t>
  </si>
  <si>
    <t>DO/2023-SRBT</t>
  </si>
  <si>
    <t>2024-02-26</t>
  </si>
  <si>
    <t>Student Wellness Fund</t>
  </si>
  <si>
    <t>DO/2023-STWF</t>
  </si>
  <si>
    <t>2023-04-19</t>
  </si>
  <si>
    <t>TCS Research Scholar Program</t>
  </si>
  <si>
    <t>DO/2023-TCSF</t>
  </si>
  <si>
    <t>DO/2023-TPCD</t>
  </si>
  <si>
    <t>PROJECT  UDAAN</t>
  </si>
  <si>
    <t>DO/2023-UDAN</t>
  </si>
  <si>
    <t>ABB India FoundationLab For Rotating Ma</t>
  </si>
  <si>
    <t>DO/2024-ABBF</t>
  </si>
  <si>
    <t>2024-10-16</t>
  </si>
  <si>
    <t>Airbus India Private LimitedScholarship</t>
  </si>
  <si>
    <t>DO/2024-AIRB</t>
  </si>
  <si>
    <t>Airpac Filters &amp; Systems Private Limited</t>
  </si>
  <si>
    <t>DO/2024-AIRS</t>
  </si>
  <si>
    <t>2024-11-08</t>
  </si>
  <si>
    <t>Chemistry Dept. Outreach Activity</t>
  </si>
  <si>
    <t>DO/2024-CHOA</t>
  </si>
  <si>
    <t>2024-06-24</t>
  </si>
  <si>
    <t>CMINDSInfrastructure Endowment</t>
  </si>
  <si>
    <t>DO/2024-CMIE</t>
  </si>
  <si>
    <t>KCDH Digital Health Academic Excellence</t>
  </si>
  <si>
    <t>DO/2024-DHEA</t>
  </si>
  <si>
    <t>2024-06-13</t>
  </si>
  <si>
    <t>Flipkart Internet Pvt. Ltd.Corporate Sp</t>
  </si>
  <si>
    <t>DO/2024-FIPL</t>
  </si>
  <si>
    <t>GE OIL &amp; GAS INDIA PRIVATE LIMITED</t>
  </si>
  <si>
    <t>DO/2024-GEOS</t>
  </si>
  <si>
    <t>Gogri Hub for Membranes Research at IIT</t>
  </si>
  <si>
    <t>DO/2024-GOGR</t>
  </si>
  <si>
    <t>2024-06-04</t>
  </si>
  <si>
    <t>Hostel 6 Reconstruction</t>
  </si>
  <si>
    <t>DO/2024-INDS</t>
  </si>
  <si>
    <t>JSI Investments Pvt Ltd  Scholarship</t>
  </si>
  <si>
    <t>DO/2024-JSIS</t>
  </si>
  <si>
    <t>KG School IIT Bombay Campus</t>
  </si>
  <si>
    <t>DO/2024-KGCH</t>
  </si>
  <si>
    <t>KV IIT Powai Cleaning Support</t>
  </si>
  <si>
    <t>DO/2024-KVCS</t>
  </si>
  <si>
    <t>2024-09-05</t>
  </si>
  <si>
    <t>Class of 2008 Legacy Project</t>
  </si>
  <si>
    <t>DO/2024-LP08</t>
  </si>
  <si>
    <t>2024-12-10</t>
  </si>
  <si>
    <t>Class of 2014 Legacy Project</t>
  </si>
  <si>
    <t>DO/2024-LP14</t>
  </si>
  <si>
    <t>2024-11-27</t>
  </si>
  <si>
    <t>Class of 1999 Legacy Project</t>
  </si>
  <si>
    <t>DO/2024-LP99</t>
  </si>
  <si>
    <t>CCS NIAM (CCS National Institute of Agri</t>
  </si>
  <si>
    <t>DO/2024-NIAM</t>
  </si>
  <si>
    <t>Ola Foundation  Research activities and</t>
  </si>
  <si>
    <t>DO/2024-OLAF</t>
  </si>
  <si>
    <t>2025-04-02</t>
  </si>
  <si>
    <t>Autonomous Robots and Multirobot System</t>
  </si>
  <si>
    <t>DO/2024-PHNT</t>
  </si>
  <si>
    <t>Society for Education Welfare and Econom</t>
  </si>
  <si>
    <t>DO/2024-SEDU</t>
  </si>
  <si>
    <t>2025-01-13</t>
  </si>
  <si>
    <t>SEIL Energy India Limited</t>
  </si>
  <si>
    <t>DO/2024-SEIL</t>
  </si>
  <si>
    <t>2025-02-19</t>
  </si>
  <si>
    <t>Vinaya &amp; Samir Kapoor Summer Program for</t>
  </si>
  <si>
    <t>DO/2024-SPUR</t>
  </si>
  <si>
    <t>Green Hydrogen Production</t>
  </si>
  <si>
    <t>DO/2024-SRGH</t>
  </si>
  <si>
    <t>Summer Technology Innovation Program</t>
  </si>
  <si>
    <t>DO/2024-TIPS</t>
  </si>
  <si>
    <t>Dr. Varun Bhaleraos Astronomy Related A</t>
  </si>
  <si>
    <t>DO/2024-VBAR</t>
  </si>
  <si>
    <t>Vijay Vashee Computer Science Fellowship</t>
  </si>
  <si>
    <t>DO/2024-VCSF</t>
  </si>
  <si>
    <t>Vijay &amp; Sita Vashee Chair in Climate &amp; S</t>
  </si>
  <si>
    <t>DO/2024-VSVC</t>
  </si>
  <si>
    <t>Chair Faculty for Artificial Intelligenc</t>
  </si>
  <si>
    <t>DO/2025-AICF</t>
  </si>
  <si>
    <t>2025-12-19</t>
  </si>
  <si>
    <t>DO/2025-ALKM</t>
  </si>
  <si>
    <t>Alumni Time Bank</t>
  </si>
  <si>
    <t>DO/2025-ALTB</t>
  </si>
  <si>
    <t>Artificial Permanent Kidney Development</t>
  </si>
  <si>
    <t>DO/2025-APKD</t>
  </si>
  <si>
    <t>2025-08-21</t>
  </si>
  <si>
    <t>IIT Bombay and Autodesk are collaboratin</t>
  </si>
  <si>
    <t>DO/2025-AUTO</t>
  </si>
  <si>
    <t>BA Continuum India Pvt Ltd</t>
  </si>
  <si>
    <t>DO/2025-BACI</t>
  </si>
  <si>
    <t>2025-12-04</t>
  </si>
  <si>
    <t>CSR Contribution for R&amp;D ProjectBHOSIPL</t>
  </si>
  <si>
    <t>DO/2025-BHPL</t>
  </si>
  <si>
    <t>2025-06-20</t>
  </si>
  <si>
    <t>Chemistry Dept Student Fund</t>
  </si>
  <si>
    <t>DO/2025-CHMS</t>
  </si>
  <si>
    <t>2025-07-31</t>
  </si>
  <si>
    <t>Chair Professorship Aerospace Department</t>
  </si>
  <si>
    <t>DO/2025-CPAD</t>
  </si>
  <si>
    <t>Everest Foods Charitable Trust Scholarsh</t>
  </si>
  <si>
    <t>DO/2025-EFTS</t>
  </si>
  <si>
    <t>Google Asia Pacific Pte. Ltd.Indic Lang</t>
  </si>
  <si>
    <t>DO/2025-GAPT</t>
  </si>
  <si>
    <t>DO/2025-GROW</t>
  </si>
  <si>
    <t>Hostel 4 Dinning &amp; Naming</t>
  </si>
  <si>
    <t>Hostel 4 Reconstruction</t>
  </si>
  <si>
    <t>Hostel 9 Reconstruction</t>
  </si>
  <si>
    <t>ICICI FOUNDATION FOR INCLUSIVE GROW</t>
  </si>
  <si>
    <t>DO/2025-ICCT</t>
  </si>
  <si>
    <t>2025-12-09</t>
  </si>
  <si>
    <t>ICICI FOUNDATION FOR INCLUSIVE GROWTH</t>
  </si>
  <si>
    <t>DO/2025-ICIC</t>
  </si>
  <si>
    <t>Motilal Oswal Foundation Infrastructure</t>
  </si>
  <si>
    <t>DO/2025-IMOS</t>
  </si>
  <si>
    <t>Residual Funds  STUDENTS TRAVEL NEEDS A</t>
  </si>
  <si>
    <t>DO/2025-INCE</t>
  </si>
  <si>
    <t>2025-04-24</t>
  </si>
  <si>
    <t>DO/2025-INFL</t>
  </si>
  <si>
    <t>Koita FoundationKF Healthcare AI Innova</t>
  </si>
  <si>
    <t>DO/2025-KFAI</t>
  </si>
  <si>
    <t>Katragadda Family Scholarship Fund</t>
  </si>
  <si>
    <t>DO/2025-KFSF</t>
  </si>
  <si>
    <t>Leadership Capacity Building</t>
  </si>
  <si>
    <t>DO/2025-LCBD</t>
  </si>
  <si>
    <t>Class of 200102 Legacy Project</t>
  </si>
  <si>
    <t>DO/2025-LP01</t>
  </si>
  <si>
    <t>Class of 2022 Legacy Project</t>
  </si>
  <si>
    <t>DO/2025-LP22</t>
  </si>
  <si>
    <t>Class of 2025 Legacy Project</t>
  </si>
  <si>
    <t>DO/2025-LP25</t>
  </si>
  <si>
    <t>2025-05-05</t>
  </si>
  <si>
    <t>Class of 2000 legacy project</t>
  </si>
  <si>
    <t>DO/2025-LP2K</t>
  </si>
  <si>
    <t>2025-11-10</t>
  </si>
  <si>
    <t>Class of 1963 Legacy Project</t>
  </si>
  <si>
    <t>DO/2025-LP63</t>
  </si>
  <si>
    <t>Class of 1981 Legacy Project</t>
  </si>
  <si>
    <t>DO/2025-LP81</t>
  </si>
  <si>
    <t>MPHASIS F1FOUNDATION</t>
  </si>
  <si>
    <t>DO/2025-MPHF</t>
  </si>
  <si>
    <t>NPTEL Chair Faculty</t>
  </si>
  <si>
    <t>DO/2025-NPTL</t>
  </si>
  <si>
    <t>2025-12-23</t>
  </si>
  <si>
    <t>AI Education and Research Using 10 NVIDI</t>
  </si>
  <si>
    <t>DO/2025-NVID</t>
  </si>
  <si>
    <t>DO/2025-OPTI</t>
  </si>
  <si>
    <t>P. H. Shah scholarship</t>
  </si>
  <si>
    <t>DO/2025-PHSH</t>
  </si>
  <si>
    <t>2025-08-20</t>
  </si>
  <si>
    <t>Pramila Trust LimitedStudent Scholarshi</t>
  </si>
  <si>
    <t>DO/2025-PRML</t>
  </si>
  <si>
    <t>ShantaDurga Lumina Enclave</t>
  </si>
  <si>
    <t>DO/2025-SDLE</t>
  </si>
  <si>
    <t>Prof. Atul Srivastav</t>
  </si>
  <si>
    <t>DO/2025-SERB</t>
  </si>
  <si>
    <t>2025-11-12</t>
  </si>
  <si>
    <t>Shri Hanuman Temple IITB</t>
  </si>
  <si>
    <t>DO/2025-SHTP</t>
  </si>
  <si>
    <t>DO/2025-SRNS</t>
  </si>
  <si>
    <t>2025-12-16</t>
  </si>
  <si>
    <t>1996 Student Technical Fund</t>
  </si>
  <si>
    <t>DO/2025-ST96</t>
  </si>
  <si>
    <t>Surati Scholarship</t>
  </si>
  <si>
    <t>DO/2025-SURT</t>
  </si>
  <si>
    <t>2025-12-29</t>
  </si>
  <si>
    <t>Campus Sustainability Fund at IIT Bombay</t>
  </si>
  <si>
    <t>DO/2025-SUST</t>
  </si>
  <si>
    <t>Teaching Assistant (TA) initiative for C</t>
  </si>
  <si>
    <t>DO/2025-TAST</t>
  </si>
  <si>
    <t>2025-04-14</t>
  </si>
  <si>
    <t>Scientific Research  Intelligence Over</t>
  </si>
  <si>
    <t>DO/2025-TRCM</t>
  </si>
  <si>
    <t>WELCOME BOT</t>
  </si>
  <si>
    <t>DO/2025-WBOT</t>
  </si>
  <si>
    <t>2025-09-09</t>
  </si>
  <si>
    <t>Wadhwani Innovation &amp; Translation Centre</t>
  </si>
  <si>
    <t>DO/2025-WITC</t>
  </si>
  <si>
    <t>Total Floors</t>
  </si>
  <si>
    <t>Floor #</t>
  </si>
  <si>
    <t>Function (e.g., Classrooms/Lab/Gym)</t>
  </si>
  <si>
    <t>Rooms/Units</t>
  </si>
  <si>
    <t>Approx Area (sq ft)</t>
  </si>
  <si>
    <t>Notes</t>
  </si>
  <si>
    <t>Lecture Halls</t>
  </si>
  <si>
    <t>Includes reading room</t>
  </si>
  <si>
    <t>Labs</t>
  </si>
  <si>
    <t>Wet + Dry labs</t>
  </si>
  <si>
    <t>Faculty Offices</t>
  </si>
  <si>
    <t>Library</t>
  </si>
  <si>
    <t>Quiet zones</t>
  </si>
  <si>
    <t>Gym</t>
  </si>
  <si>
    <t>With music room adjacent</t>
  </si>
  <si>
    <t>Risk/Issue</t>
  </si>
  <si>
    <t>Type</t>
  </si>
  <si>
    <t>Probability</t>
  </si>
  <si>
    <t>Impact</t>
  </si>
  <si>
    <t>Mitigation</t>
  </si>
  <si>
    <t>Target Date</t>
  </si>
  <si>
    <t>Permit delay</t>
  </si>
  <si>
    <t>Risk</t>
  </si>
  <si>
    <t>High</t>
  </si>
  <si>
    <t>Medium</t>
  </si>
  <si>
    <t>S. Gupta</t>
  </si>
  <si>
    <t>Escalate with authority</t>
  </si>
  <si>
    <t>2025-08-15</t>
  </si>
  <si>
    <t>Budget shortfall</t>
  </si>
  <si>
    <t>N. Mathur</t>
  </si>
  <si>
    <t>Seek additional donor funding</t>
  </si>
  <si>
    <t>2026-05-01</t>
  </si>
  <si>
    <t>Role</t>
  </si>
  <si>
    <t>Name</t>
  </si>
  <si>
    <t>Email</t>
  </si>
  <si>
    <t>Phone</t>
  </si>
  <si>
    <t>Approval Required</t>
  </si>
  <si>
    <t>Approval Status</t>
  </si>
  <si>
    <t>Approval Date</t>
  </si>
  <si>
    <t>Architect</t>
  </si>
  <si>
    <t>A. Desai</t>
  </si>
  <si>
    <t>architect@firm.in</t>
  </si>
  <si>
    <t>+91-90000-11111</t>
  </si>
  <si>
    <t>Building Permit</t>
  </si>
  <si>
    <t>Approved</t>
  </si>
  <si>
    <t>2025-05-12</t>
  </si>
  <si>
    <t>Contractor</t>
  </si>
  <si>
    <t>BuildCo Pvt Ltd</t>
  </si>
  <si>
    <t>pm@buildco.in</t>
  </si>
  <si>
    <t>+91-98888-22222</t>
  </si>
  <si>
    <t>Environmental</t>
  </si>
  <si>
    <t>Pending</t>
  </si>
  <si>
    <t>Doc Type</t>
  </si>
  <si>
    <t>Description</t>
  </si>
  <si>
    <t>Link</t>
  </si>
  <si>
    <t>Uploaded On</t>
  </si>
  <si>
    <t>GFC Drawing</t>
  </si>
  <si>
    <t>Structural GFC set v3</t>
  </si>
  <si>
    <t>https://sharepoint.example/docs/gfc-v3</t>
  </si>
  <si>
    <t>2025-10-20</t>
  </si>
  <si>
    <t>Render</t>
  </si>
  <si>
    <t>Exterior render set</t>
  </si>
  <si>
    <t>https://sharepoint.example/docs/render</t>
  </si>
  <si>
    <t>2025-09-12</t>
  </si>
  <si>
    <t>Permit</t>
  </si>
  <si>
    <t>Municipal approval</t>
  </si>
  <si>
    <t>https://drive.example/docs/permit</t>
  </si>
  <si>
    <t>2026-03-01</t>
  </si>
  <si>
    <t>Rahul Bajaj …</t>
  </si>
  <si>
    <t>New Student Activity Centre</t>
  </si>
  <si>
    <t>Lakhamraju Buildin and Motilal Oswal Centre</t>
  </si>
  <si>
    <t>AB3&amp; GESH Building</t>
  </si>
  <si>
    <t>Wadhwani Hub</t>
  </si>
  <si>
    <t>Mohan Kavrie Alumni centre</t>
  </si>
  <si>
    <t>COPT</t>
  </si>
  <si>
    <t>Lecture Hall Complex/OAT</t>
  </si>
  <si>
    <t>(Old Staff Hostel)</t>
  </si>
  <si>
    <t>Area Sqft</t>
  </si>
  <si>
    <t>Beds</t>
  </si>
  <si>
    <t>Estimimated Cost (cr)</t>
  </si>
  <si>
    <t>Donor Funds</t>
  </si>
  <si>
    <t>Hostel5</t>
  </si>
  <si>
    <t>Hostel no.4</t>
  </si>
  <si>
    <t>Evergreen 7, 8, 21</t>
  </si>
  <si>
    <t>Hostel no 19</t>
  </si>
  <si>
    <t> </t>
  </si>
  <si>
    <t>Design getting finalized</t>
  </si>
  <si>
    <t>Hostel no.6</t>
  </si>
  <si>
    <t>Hostel no.9</t>
  </si>
  <si>
    <t>Future Planning</t>
  </si>
  <si>
    <t>Hostel no.11</t>
  </si>
  <si>
    <t>Hostel 12E&amp;14D</t>
  </si>
  <si>
    <t>Estimated Cost (cr)</t>
  </si>
  <si>
    <t>Next to VMCC</t>
  </si>
  <si>
    <t>Main building behind</t>
  </si>
  <si>
    <t>BSBE behing</t>
  </si>
  <si>
    <t>Opp new DSSE building</t>
  </si>
  <si>
    <t>Under Construction/Design</t>
  </si>
  <si>
    <t>RBTIC ke saamne</t>
  </si>
  <si>
    <t>on the map</t>
  </si>
  <si>
    <t>Hostel 10 ke opp. Ground</t>
  </si>
  <si>
    <t>Next to reseatch Park</t>
  </si>
  <si>
    <t xml:space="preserve">Future Planning </t>
  </si>
  <si>
    <t>Naming Funds</t>
  </si>
  <si>
    <t>Gogri</t>
  </si>
  <si>
    <t>NN315 Infra</t>
  </si>
  <si>
    <t>Total Cost</t>
  </si>
  <si>
    <t>Total Donor Funds</t>
  </si>
  <si>
    <t>Cost</t>
  </si>
  <si>
    <t>Total Expansion Plan</t>
  </si>
  <si>
    <t>Total Built so far</t>
  </si>
  <si>
    <t>Total under construction/design</t>
  </si>
  <si>
    <t>Total Sq feet supported by Donors- Acads</t>
  </si>
  <si>
    <t>Total Sq feet supported by Donors- Hostels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</si>
</sst>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₹&quot;\ #,##0;[Red]&quot;₹&quot;\ \-#,##0"/>
    <numFmt numFmtId="165" formatCode="&quot;₹&quot;\ #,##0.00;[Red]&quot;₹&quot;\ \-#,##0.00"/>
    <numFmt numFmtId="166" formatCode="_ &quot;₹&quot;\ * #,##0.00_ ;_ &quot;₹&quot;\ * \-#,##0.00_ ;_ &quot;₹&quot;\ * &quot;-&quot;??_ ;_ @_ "/>
    <numFmt numFmtId="167" formatCode="yyyy\-mm\-dd"/>
    <numFmt numFmtId="168" formatCode="0.000"/>
    <numFmt numFmtId="169" formatCode="mmm\ yy"/>
    <numFmt numFmtId="170" formatCode="[$-F800]dddd\,\ mmmm\ dd\,\ yyyy"/>
  </numFmts>
  <fonts count="42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u/>
      <sz val="11"/>
      <color theme="10"/>
      <name val="Aptos"/>
      <family val="2"/>
    </font>
    <font>
      <sz val="11"/>
      <color rgb="FF404040"/>
      <name val="Corbel"/>
      <family val="2"/>
    </font>
    <font>
      <i/>
      <sz val="11"/>
      <color rgb="FF735773"/>
      <name val="Calibri"/>
      <family val="2"/>
      <scheme val="minor"/>
    </font>
    <font>
      <b/>
      <sz val="11"/>
      <color rgb="FF404040"/>
      <name val="Calibri"/>
      <family val="2"/>
      <scheme val="minor"/>
    </font>
    <font>
      <sz val="12"/>
      <color rgb="FF404040"/>
      <name val="Corbel"/>
      <family val="2"/>
    </font>
    <font>
      <sz val="12"/>
      <color rgb="FF404040"/>
      <name val="Calibri"/>
      <family val="2"/>
      <scheme val="minor"/>
    </font>
    <font>
      <sz val="12"/>
      <color rgb="FF404040"/>
      <name val="Calibri"/>
      <family val="2"/>
    </font>
    <font>
      <b/>
      <sz val="11"/>
      <color rgb="FF595959"/>
      <name val="Calibri"/>
      <family val="2"/>
      <scheme val="minor"/>
    </font>
    <font>
      <sz val="12"/>
      <color rgb="FF404040"/>
      <name val="Calibri"/>
      <scheme val="minor"/>
    </font>
    <font>
      <b/>
      <sz val="13"/>
      <color rgb="FF735773"/>
      <name val="Calibri"/>
      <scheme val="minor"/>
    </font>
    <font>
      <b/>
      <sz val="11"/>
      <color rgb="FF595959"/>
      <name val="Calibri"/>
      <family val="2"/>
    </font>
    <font>
      <b/>
      <sz val="11"/>
      <color rgb="FF404040"/>
      <name val="Calibri"/>
      <family val="2"/>
    </font>
    <font>
      <sz val="11"/>
      <name val="Aptos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  <family val="2"/>
    </font>
    <font>
      <b/>
      <sz val="8"/>
      <color rgb="FF000000"/>
      <name val="Calibri"/>
      <family val="2"/>
    </font>
    <font>
      <sz val="10"/>
      <color rgb="FF000000"/>
      <name val="Calibri"/>
      <family val="2"/>
    </font>
    <font>
      <b/>
      <sz val="16"/>
      <color rgb="FF000000"/>
      <name val="Calibri"/>
      <family val="2"/>
    </font>
    <font>
      <sz val="8"/>
      <color rgb="FFFF0000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4"/>
      <color rgb="FF000000"/>
      <name val="Calibri"/>
      <charset val="1"/>
    </font>
  </fonts>
  <fills count="40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F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00"/>
        <bgColor rgb="FFFFD966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44546A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7DEB9"/>
        <bgColor rgb="FF000000"/>
      </patternFill>
    </fill>
    <fill>
      <patternFill patternType="lightUp">
        <fgColor rgb="FF735773"/>
      </patternFill>
    </fill>
    <fill>
      <patternFill patternType="lightUp">
        <fgColor rgb="FF735773"/>
        <bgColor rgb="FFCAB9CA"/>
      </patternFill>
    </fill>
    <fill>
      <patternFill patternType="solid">
        <fgColor rgb="FF735773"/>
        <bgColor rgb="FF000000"/>
      </patternFill>
    </fill>
    <fill>
      <patternFill patternType="solid">
        <fgColor rgb="FFC00000"/>
        <bgColor indexed="64"/>
      </patternFill>
    </fill>
    <fill>
      <patternFill patternType="lightUp">
        <bgColor rgb="FF92D050"/>
      </patternFill>
    </fill>
    <fill>
      <patternFill patternType="darkTrellis">
        <fgColor theme="4"/>
        <bgColor theme="9"/>
      </patternFill>
    </fill>
    <fill>
      <patternFill patternType="darkTrellis">
        <fgColor theme="5"/>
        <bgColor rgb="FFF7DEB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4DFEC"/>
        <bgColor rgb="FF000000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ck">
        <color rgb="FFFFFFFF"/>
      </left>
      <right style="thick">
        <color rgb="FFFFFFFF"/>
      </right>
      <top style="thin">
        <color rgb="FFFFFFFF"/>
      </top>
      <bottom style="thick">
        <color rgb="FFFFFFFF"/>
      </bottom>
      <diagonal/>
    </border>
    <border>
      <left/>
      <right style="thick">
        <color rgb="FFFFFFFF"/>
      </right>
      <top/>
      <bottom/>
      <diagonal/>
    </border>
    <border>
      <left style="thin">
        <color rgb="FFD1881B"/>
      </left>
      <right style="thin">
        <color rgb="FFD1881B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ck">
        <color rgb="FFFFFFFF"/>
      </left>
      <right/>
      <top/>
      <bottom/>
      <diagonal/>
    </border>
    <border>
      <left/>
      <right/>
      <top style="thin">
        <color rgb="FFD1881B"/>
      </top>
      <bottom/>
      <diagonal/>
    </border>
    <border>
      <left style="thick">
        <color rgb="FFFFFFFF"/>
      </left>
      <right style="thick">
        <color rgb="FFFFFFFF"/>
      </right>
      <top style="thin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rgb="FFFFFFFF"/>
      </right>
      <top style="thin">
        <color rgb="FFFFFFFF"/>
      </top>
      <bottom style="thick">
        <color rgb="FFFFFFFF"/>
      </bottom>
      <diagonal/>
    </border>
    <border>
      <left/>
      <right style="medium">
        <color indexed="64"/>
      </right>
      <top/>
      <bottom style="thin">
        <color rgb="FFFFFFFF"/>
      </bottom>
      <diagonal/>
    </border>
    <border>
      <left style="medium">
        <color indexed="64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indexed="64"/>
      </left>
      <right style="thin">
        <color rgb="FFD1881B"/>
      </right>
      <top/>
      <bottom style="thin">
        <color rgb="FFF7DEB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FFFFFF"/>
      </left>
      <right style="thick">
        <color rgb="FFFFFFFF"/>
      </right>
      <top style="thin">
        <color rgb="FFFFFFFF"/>
      </top>
      <bottom style="medium">
        <color indexed="64"/>
      </bottom>
      <diagonal/>
    </border>
    <border>
      <left/>
      <right style="thick">
        <color rgb="FFFFFFFF"/>
      </right>
      <top style="thick">
        <color rgb="FFFFFFFF"/>
      </top>
      <bottom style="medium">
        <color indexed="64"/>
      </bottom>
      <diagonal/>
    </border>
    <border>
      <left/>
      <right style="thick">
        <color rgb="FFFFFFFF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D1881B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4" fillId="0" borderId="0"/>
  </cellStyleXfs>
  <cellXfs count="339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/>
    <xf numFmtId="167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6" fillId="0" borderId="0" xfId="0" applyFont="1"/>
    <xf numFmtId="0" fontId="0" fillId="0" borderId="1" xfId="0" applyBorder="1"/>
    <xf numFmtId="0" fontId="0" fillId="0" borderId="1" xfId="0" applyBorder="1" applyAlignment="1">
      <alignment vertical="center"/>
    </xf>
    <xf numFmtId="0" fontId="7" fillId="4" borderId="1" xfId="0" applyFont="1" applyFill="1" applyBorder="1"/>
    <xf numFmtId="0" fontId="7" fillId="5" borderId="1" xfId="0" applyFont="1" applyFill="1" applyBorder="1"/>
    <xf numFmtId="0" fontId="7" fillId="6" borderId="1" xfId="0" applyFont="1" applyFill="1" applyBorder="1"/>
    <xf numFmtId="0" fontId="7" fillId="7" borderId="1" xfId="0" applyFont="1" applyFill="1" applyBorder="1"/>
    <xf numFmtId="0" fontId="7" fillId="7" borderId="2" xfId="0" applyFont="1" applyFill="1" applyBorder="1"/>
    <xf numFmtId="0" fontId="7" fillId="7" borderId="3" xfId="0" applyFont="1" applyFill="1" applyBorder="1"/>
    <xf numFmtId="14" fontId="0" fillId="0" borderId="1" xfId="0" applyNumberFormat="1" applyBorder="1"/>
    <xf numFmtId="0" fontId="0" fillId="9" borderId="1" xfId="0" applyFill="1" applyBorder="1"/>
    <xf numFmtId="0" fontId="11" fillId="10" borderId="6" xfId="0" applyFont="1" applyFill="1" applyBorder="1"/>
    <xf numFmtId="0" fontId="11" fillId="10" borderId="7" xfId="0" applyFont="1" applyFill="1" applyBorder="1"/>
    <xf numFmtId="0" fontId="12" fillId="11" borderId="1" xfId="0" applyFont="1" applyFill="1" applyBorder="1"/>
    <xf numFmtId="0" fontId="12" fillId="11" borderId="5" xfId="0" applyFont="1" applyFill="1" applyBorder="1"/>
    <xf numFmtId="0" fontId="12" fillId="11" borderId="7" xfId="0" applyFont="1" applyFill="1" applyBorder="1"/>
    <xf numFmtId="0" fontId="12" fillId="11" borderId="8" xfId="0" applyFont="1" applyFill="1" applyBorder="1"/>
    <xf numFmtId="0" fontId="12" fillId="11" borderId="6" xfId="0" applyFont="1" applyFill="1" applyBorder="1"/>
    <xf numFmtId="0" fontId="11" fillId="12" borderId="3" xfId="0" applyFont="1" applyFill="1" applyBorder="1"/>
    <xf numFmtId="0" fontId="11" fillId="12" borderId="6" xfId="0" applyFont="1" applyFill="1" applyBorder="1"/>
    <xf numFmtId="0" fontId="11" fillId="13" borderId="6" xfId="0" applyFont="1" applyFill="1" applyBorder="1"/>
    <xf numFmtId="0" fontId="11" fillId="10" borderId="0" xfId="0" applyFont="1" applyFill="1"/>
    <xf numFmtId="0" fontId="11" fillId="14" borderId="6" xfId="0" applyFont="1" applyFill="1" applyBorder="1"/>
    <xf numFmtId="0" fontId="10" fillId="15" borderId="1" xfId="0" applyFont="1" applyFill="1" applyBorder="1" applyAlignment="1">
      <alignment horizontal="center"/>
    </xf>
    <xf numFmtId="0" fontId="10" fillId="15" borderId="10" xfId="0" applyFont="1" applyFill="1" applyBorder="1" applyAlignment="1">
      <alignment horizontal="center"/>
    </xf>
    <xf numFmtId="0" fontId="0" fillId="16" borderId="1" xfId="0" applyFill="1" applyBorder="1"/>
    <xf numFmtId="1" fontId="0" fillId="16" borderId="1" xfId="0" applyNumberFormat="1" applyFill="1" applyBorder="1"/>
    <xf numFmtId="0" fontId="0" fillId="0" borderId="0" xfId="0" applyAlignment="1">
      <alignment horizontal="center"/>
    </xf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19" borderId="8" xfId="0" applyFill="1" applyBorder="1"/>
    <xf numFmtId="168" fontId="0" fillId="16" borderId="1" xfId="0" applyNumberFormat="1" applyFill="1" applyBorder="1"/>
    <xf numFmtId="168" fontId="0" fillId="0" borderId="0" xfId="0" applyNumberFormat="1"/>
    <xf numFmtId="1" fontId="0" fillId="0" borderId="0" xfId="0" applyNumberFormat="1"/>
    <xf numFmtId="9" fontId="0" fillId="0" borderId="0" xfId="1" applyFont="1"/>
    <xf numFmtId="0" fontId="0" fillId="0" borderId="0" xfId="0" applyAlignment="1">
      <alignment horizontal="right"/>
    </xf>
    <xf numFmtId="166" fontId="0" fillId="0" borderId="1" xfId="0" applyNumberFormat="1" applyBorder="1"/>
    <xf numFmtId="0" fontId="13" fillId="2" borderId="1" xfId="0" applyFont="1" applyFill="1" applyBorder="1" applyAlignment="1">
      <alignment vertical="center"/>
    </xf>
    <xf numFmtId="0" fontId="14" fillId="0" borderId="1" xfId="0" applyFont="1" applyBorder="1"/>
    <xf numFmtId="0" fontId="15" fillId="0" borderId="1" xfId="0" applyFont="1" applyBorder="1" applyAlignment="1">
      <alignment vertical="center" wrapText="1"/>
    </xf>
    <xf numFmtId="166" fontId="15" fillId="0" borderId="1" xfId="0" applyNumberFormat="1" applyFont="1" applyBorder="1"/>
    <xf numFmtId="0" fontId="15" fillId="0" borderId="1" xfId="0" applyFont="1" applyBorder="1"/>
    <xf numFmtId="0" fontId="15" fillId="0" borderId="1" xfId="0" applyFont="1" applyBorder="1" applyAlignment="1">
      <alignment horizontal="left" vertical="center"/>
    </xf>
    <xf numFmtId="0" fontId="16" fillId="0" borderId="1" xfId="2" applyFont="1" applyBorder="1"/>
    <xf numFmtId="9" fontId="14" fillId="9" borderId="1" xfId="1" applyFont="1" applyFill="1" applyBorder="1"/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wrapText="1"/>
    </xf>
    <xf numFmtId="17" fontId="14" fillId="0" borderId="1" xfId="0" applyNumberFormat="1" applyFont="1" applyBorder="1"/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wrapText="1"/>
    </xf>
    <xf numFmtId="166" fontId="14" fillId="0" borderId="1" xfId="0" applyNumberFormat="1" applyFont="1" applyBorder="1"/>
    <xf numFmtId="9" fontId="14" fillId="0" borderId="1" xfId="1" applyFont="1" applyBorder="1" applyAlignment="1">
      <alignment vertical="center"/>
    </xf>
    <xf numFmtId="0" fontId="14" fillId="9" borderId="1" xfId="0" applyFont="1" applyFill="1" applyBorder="1"/>
    <xf numFmtId="0" fontId="13" fillId="20" borderId="1" xfId="0" applyFont="1" applyFill="1" applyBorder="1" applyAlignment="1">
      <alignment vertical="center"/>
    </xf>
    <xf numFmtId="166" fontId="13" fillId="2" borderId="1" xfId="0" applyNumberFormat="1" applyFont="1" applyFill="1" applyBorder="1" applyAlignment="1">
      <alignment vertical="center"/>
    </xf>
    <xf numFmtId="0" fontId="13" fillId="8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5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7" fillId="22" borderId="11" xfId="0" applyFont="1" applyFill="1" applyBorder="1" applyAlignment="1">
      <alignment horizontal="center"/>
    </xf>
    <xf numFmtId="0" fontId="17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/>
    </xf>
    <xf numFmtId="0" fontId="22" fillId="0" borderId="15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0" fontId="17" fillId="0" borderId="14" xfId="0" applyFont="1" applyBorder="1" applyAlignment="1">
      <alignment horizont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/>
    </xf>
    <xf numFmtId="0" fontId="21" fillId="0" borderId="15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12" xfId="0" applyFont="1" applyBorder="1" applyAlignment="1">
      <alignment vertical="center"/>
    </xf>
    <xf numFmtId="0" fontId="0" fillId="25" borderId="0" xfId="0" applyFill="1"/>
    <xf numFmtId="0" fontId="0" fillId="26" borderId="0" xfId="0" applyFill="1"/>
    <xf numFmtId="0" fontId="21" fillId="27" borderId="12" xfId="0" applyFont="1" applyFill="1" applyBorder="1" applyAlignment="1">
      <alignment vertical="center"/>
    </xf>
    <xf numFmtId="0" fontId="14" fillId="29" borderId="1" xfId="0" applyFont="1" applyFill="1" applyBorder="1"/>
    <xf numFmtId="166" fontId="14" fillId="29" borderId="1" xfId="0" applyNumberFormat="1" applyFont="1" applyFill="1" applyBorder="1"/>
    <xf numFmtId="0" fontId="14" fillId="29" borderId="1" xfId="0" applyFont="1" applyFill="1" applyBorder="1" applyAlignment="1">
      <alignment horizontal="left"/>
    </xf>
    <xf numFmtId="0" fontId="14" fillId="29" borderId="1" xfId="0" applyFont="1" applyFill="1" applyBorder="1" applyAlignment="1">
      <alignment vertical="center"/>
    </xf>
    <xf numFmtId="0" fontId="0" fillId="29" borderId="1" xfId="0" applyFill="1" applyBorder="1"/>
    <xf numFmtId="0" fontId="14" fillId="29" borderId="1" xfId="0" applyFont="1" applyFill="1" applyBorder="1" applyAlignment="1">
      <alignment vertical="top"/>
    </xf>
    <xf numFmtId="166" fontId="14" fillId="29" borderId="1" xfId="0" applyNumberFormat="1" applyFont="1" applyFill="1" applyBorder="1" applyAlignment="1">
      <alignment vertical="top"/>
    </xf>
    <xf numFmtId="0" fontId="14" fillId="29" borderId="1" xfId="0" applyFont="1" applyFill="1" applyBorder="1" applyAlignment="1">
      <alignment horizontal="left" vertical="top"/>
    </xf>
    <xf numFmtId="0" fontId="0" fillId="29" borderId="1" xfId="0" applyFill="1" applyBorder="1" applyAlignment="1">
      <alignment vertical="top"/>
    </xf>
    <xf numFmtId="0" fontId="15" fillId="0" borderId="1" xfId="0" applyFont="1" applyBorder="1" applyAlignment="1">
      <alignment horizontal="left" vertical="top" wrapText="1"/>
    </xf>
    <xf numFmtId="170" fontId="0" fillId="0" borderId="0" xfId="0" applyNumberFormat="1"/>
    <xf numFmtId="17" fontId="0" fillId="0" borderId="0" xfId="0" applyNumberFormat="1"/>
    <xf numFmtId="17" fontId="14" fillId="0" borderId="1" xfId="0" applyNumberFormat="1" applyFont="1" applyBorder="1" applyAlignment="1">
      <alignment horizontal="right"/>
    </xf>
    <xf numFmtId="0" fontId="17" fillId="22" borderId="17" xfId="0" applyFont="1" applyFill="1" applyBorder="1" applyAlignment="1">
      <alignment horizontal="center"/>
    </xf>
    <xf numFmtId="0" fontId="19" fillId="21" borderId="16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center"/>
    </xf>
    <xf numFmtId="9" fontId="25" fillId="0" borderId="1" xfId="0" applyNumberFormat="1" applyFont="1" applyBorder="1" applyAlignment="1">
      <alignment horizontal="center" vertical="center"/>
    </xf>
    <xf numFmtId="0" fontId="17" fillId="23" borderId="18" xfId="0" applyFont="1" applyFill="1" applyBorder="1" applyAlignment="1">
      <alignment horizontal="center"/>
    </xf>
    <xf numFmtId="0" fontId="17" fillId="24" borderId="18" xfId="0" applyFont="1" applyFill="1" applyBorder="1" applyAlignment="1">
      <alignment horizontal="center"/>
    </xf>
    <xf numFmtId="0" fontId="17" fillId="28" borderId="18" xfId="0" applyFont="1" applyFill="1" applyBorder="1" applyAlignment="1">
      <alignment horizontal="center"/>
    </xf>
    <xf numFmtId="0" fontId="17" fillId="22" borderId="20" xfId="0" applyFont="1" applyFill="1" applyBorder="1" applyAlignment="1">
      <alignment horizontal="center"/>
    </xf>
    <xf numFmtId="0" fontId="17" fillId="0" borderId="21" xfId="0" applyFont="1" applyBorder="1" applyAlignment="1">
      <alignment horizontal="center" vertical="center"/>
    </xf>
    <xf numFmtId="0" fontId="17" fillId="24" borderId="22" xfId="0" applyFont="1" applyFill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0" fillId="0" borderId="19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7" fillId="22" borderId="27" xfId="0" applyFont="1" applyFill="1" applyBorder="1" applyAlignment="1">
      <alignment horizontal="center"/>
    </xf>
    <xf numFmtId="0" fontId="17" fillId="28" borderId="28" xfId="0" applyFont="1" applyFill="1" applyBorder="1" applyAlignment="1">
      <alignment horizontal="center"/>
    </xf>
    <xf numFmtId="0" fontId="0" fillId="26" borderId="25" xfId="0" applyFill="1" applyBorder="1"/>
    <xf numFmtId="0" fontId="21" fillId="27" borderId="29" xfId="0" applyFont="1" applyFill="1" applyBorder="1" applyAlignment="1">
      <alignment vertical="center"/>
    </xf>
    <xf numFmtId="0" fontId="17" fillId="0" borderId="25" xfId="0" applyFont="1" applyBorder="1" applyAlignment="1">
      <alignment horizontal="center" vertical="center"/>
    </xf>
    <xf numFmtId="0" fontId="15" fillId="0" borderId="30" xfId="0" applyFont="1" applyBorder="1" applyAlignment="1">
      <alignment vertical="center" wrapText="1"/>
    </xf>
    <xf numFmtId="0" fontId="14" fillId="0" borderId="31" xfId="0" applyFont="1" applyBorder="1"/>
    <xf numFmtId="0" fontId="14" fillId="0" borderId="30" xfId="0" applyFont="1" applyBorder="1" applyAlignment="1">
      <alignment wrapText="1"/>
    </xf>
    <xf numFmtId="17" fontId="14" fillId="0" borderId="31" xfId="0" applyNumberFormat="1" applyFont="1" applyBorder="1"/>
    <xf numFmtId="0" fontId="15" fillId="0" borderId="30" xfId="0" applyFont="1" applyBorder="1" applyAlignment="1">
      <alignment horizontal="left" vertical="center" wrapText="1"/>
    </xf>
    <xf numFmtId="0" fontId="15" fillId="0" borderId="30" xfId="0" applyFont="1" applyBorder="1" applyAlignment="1">
      <alignment vertical="top" wrapText="1"/>
    </xf>
    <xf numFmtId="0" fontId="15" fillId="0" borderId="30" xfId="0" applyFont="1" applyBorder="1" applyAlignment="1">
      <alignment wrapText="1"/>
    </xf>
    <xf numFmtId="17" fontId="14" fillId="0" borderId="31" xfId="0" applyNumberFormat="1" applyFont="1" applyBorder="1" applyAlignment="1">
      <alignment horizontal="right"/>
    </xf>
    <xf numFmtId="0" fontId="14" fillId="0" borderId="32" xfId="0" applyFont="1" applyBorder="1" applyAlignment="1">
      <alignment wrapText="1"/>
    </xf>
    <xf numFmtId="0" fontId="0" fillId="0" borderId="4" xfId="0" applyBorder="1"/>
    <xf numFmtId="17" fontId="14" fillId="0" borderId="4" xfId="0" applyNumberFormat="1" applyFont="1" applyBorder="1"/>
    <xf numFmtId="17" fontId="14" fillId="0" borderId="33" xfId="0" applyNumberFormat="1" applyFont="1" applyBorder="1"/>
    <xf numFmtId="0" fontId="15" fillId="0" borderId="34" xfId="0" applyFont="1" applyBorder="1" applyAlignment="1">
      <alignment vertical="center" wrapText="1"/>
    </xf>
    <xf numFmtId="0" fontId="24" fillId="0" borderId="3" xfId="0" applyFont="1" applyBorder="1" applyAlignment="1">
      <alignment horizontal="center"/>
    </xf>
    <xf numFmtId="9" fontId="25" fillId="0" borderId="3" xfId="0" applyNumberFormat="1" applyFont="1" applyBorder="1" applyAlignment="1">
      <alignment horizontal="center" vertical="center"/>
    </xf>
    <xf numFmtId="0" fontId="14" fillId="0" borderId="3" xfId="0" applyFont="1" applyBorder="1"/>
    <xf numFmtId="0" fontId="14" fillId="0" borderId="35" xfId="0" applyFont="1" applyBorder="1"/>
    <xf numFmtId="0" fontId="17" fillId="22" borderId="36" xfId="0" applyFont="1" applyFill="1" applyBorder="1" applyAlignment="1">
      <alignment horizontal="center"/>
    </xf>
    <xf numFmtId="0" fontId="17" fillId="23" borderId="37" xfId="0" applyFont="1" applyFill="1" applyBorder="1" applyAlignment="1">
      <alignment horizontal="center"/>
    </xf>
    <xf numFmtId="0" fontId="17" fillId="22" borderId="38" xfId="0" applyFont="1" applyFill="1" applyBorder="1" applyAlignment="1">
      <alignment horizontal="center"/>
    </xf>
    <xf numFmtId="0" fontId="23" fillId="0" borderId="39" xfId="0" applyFont="1" applyBorder="1" applyAlignment="1">
      <alignment vertical="center"/>
    </xf>
    <xf numFmtId="0" fontId="23" fillId="0" borderId="40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left"/>
    </xf>
    <xf numFmtId="0" fontId="23" fillId="0" borderId="41" xfId="0" applyFont="1" applyBorder="1" applyAlignment="1">
      <alignment horizontal="left"/>
    </xf>
    <xf numFmtId="0" fontId="17" fillId="0" borderId="42" xfId="0" applyFont="1" applyBorder="1" applyAlignment="1">
      <alignment vertical="center" wrapText="1"/>
    </xf>
    <xf numFmtId="0" fontId="17" fillId="0" borderId="43" xfId="0" applyFont="1" applyBorder="1" applyAlignment="1">
      <alignment vertical="center" wrapText="1"/>
    </xf>
    <xf numFmtId="0" fontId="19" fillId="30" borderId="16" xfId="0" applyFont="1" applyFill="1" applyBorder="1" applyAlignment="1">
      <alignment horizontal="left" vertical="center"/>
    </xf>
    <xf numFmtId="1" fontId="20" fillId="30" borderId="16" xfId="0" applyNumberFormat="1" applyFont="1" applyFill="1" applyBorder="1" applyAlignment="1">
      <alignment horizontal="center" vertical="center"/>
    </xf>
    <xf numFmtId="169" fontId="26" fillId="30" borderId="44" xfId="0" applyNumberFormat="1" applyFont="1" applyFill="1" applyBorder="1" applyAlignment="1">
      <alignment horizontal="center" vertical="center"/>
    </xf>
    <xf numFmtId="169" fontId="26" fillId="0" borderId="42" xfId="0" applyNumberFormat="1" applyFont="1" applyBorder="1" applyAlignment="1">
      <alignment horizontal="left" vertical="center"/>
    </xf>
    <xf numFmtId="169" fontId="27" fillId="0" borderId="42" xfId="0" applyNumberFormat="1" applyFont="1" applyBorder="1" applyAlignment="1">
      <alignment horizontal="center" vertical="center" wrapText="1"/>
    </xf>
    <xf numFmtId="169" fontId="27" fillId="0" borderId="42" xfId="0" applyNumberFormat="1" applyFont="1" applyBorder="1" applyAlignment="1">
      <alignment vertical="center" wrapText="1"/>
    </xf>
    <xf numFmtId="0" fontId="29" fillId="32" borderId="0" xfId="0" applyFont="1" applyFill="1" applyAlignment="1">
      <alignment horizontal="center" vertical="center" wrapText="1"/>
    </xf>
    <xf numFmtId="0" fontId="29" fillId="33" borderId="45" xfId="0" applyFont="1" applyFill="1" applyBorder="1" applyAlignment="1">
      <alignment horizontal="center" vertical="center" wrapText="1"/>
    </xf>
    <xf numFmtId="0" fontId="29" fillId="35" borderId="45" xfId="0" applyFont="1" applyFill="1" applyBorder="1" applyAlignment="1">
      <alignment horizontal="center" vertical="center" wrapText="1"/>
    </xf>
    <xf numFmtId="0" fontId="29" fillId="32" borderId="48" xfId="0" applyFont="1" applyFill="1" applyBorder="1" applyAlignment="1">
      <alignment horizontal="center" vertical="center" wrapText="1"/>
    </xf>
    <xf numFmtId="0" fontId="29" fillId="33" borderId="49" xfId="0" applyFont="1" applyFill="1" applyBorder="1" applyAlignment="1">
      <alignment horizontal="center" vertical="center" wrapText="1"/>
    </xf>
    <xf numFmtId="0" fontId="29" fillId="35" borderId="49" xfId="0" applyFont="1" applyFill="1" applyBorder="1" applyAlignment="1">
      <alignment horizontal="center" vertical="center" wrapText="1"/>
    </xf>
    <xf numFmtId="0" fontId="11" fillId="3" borderId="45" xfId="0" applyFont="1" applyFill="1" applyBorder="1" applyAlignment="1">
      <alignment horizontal="center" vertical="center" wrapText="1"/>
    </xf>
    <xf numFmtId="0" fontId="11" fillId="3" borderId="52" xfId="0" applyFont="1" applyFill="1" applyBorder="1" applyAlignment="1">
      <alignment vertical="center"/>
    </xf>
    <xf numFmtId="164" fontId="11" fillId="0" borderId="52" xfId="0" applyNumberFormat="1" applyFont="1" applyBorder="1" applyAlignment="1">
      <alignment vertical="center"/>
    </xf>
    <xf numFmtId="164" fontId="11" fillId="34" borderId="52" xfId="0" applyNumberFormat="1" applyFont="1" applyFill="1" applyBorder="1" applyAlignment="1">
      <alignment vertical="center"/>
    </xf>
    <xf numFmtId="165" fontId="11" fillId="34" borderId="52" xfId="0" applyNumberFormat="1" applyFont="1" applyFill="1" applyBorder="1" applyAlignment="1">
      <alignment vertical="center"/>
    </xf>
    <xf numFmtId="0" fontId="11" fillId="0" borderId="5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34" borderId="52" xfId="0" applyFont="1" applyFill="1" applyBorder="1" applyAlignment="1">
      <alignment vertical="center"/>
    </xf>
    <xf numFmtId="0" fontId="36" fillId="0" borderId="52" xfId="0" applyFont="1" applyBorder="1" applyAlignment="1">
      <alignment vertical="center"/>
    </xf>
    <xf numFmtId="0" fontId="11" fillId="3" borderId="53" xfId="0" applyFont="1" applyFill="1" applyBorder="1" applyAlignment="1">
      <alignment horizontal="center" vertical="center" wrapText="1"/>
    </xf>
    <xf numFmtId="0" fontId="11" fillId="3" borderId="52" xfId="0" applyFont="1" applyFill="1" applyBorder="1" applyAlignment="1">
      <alignment horizontal="center" vertical="center" wrapText="1"/>
    </xf>
    <xf numFmtId="165" fontId="11" fillId="0" borderId="52" xfId="0" applyNumberFormat="1" applyFont="1" applyBorder="1" applyAlignment="1">
      <alignment vertical="center"/>
    </xf>
    <xf numFmtId="0" fontId="11" fillId="3" borderId="45" xfId="0" applyFont="1" applyFill="1" applyBorder="1" applyAlignment="1">
      <alignment vertical="center"/>
    </xf>
    <xf numFmtId="164" fontId="11" fillId="0" borderId="45" xfId="0" applyNumberFormat="1" applyFont="1" applyBorder="1" applyAlignment="1">
      <alignment vertical="center"/>
    </xf>
    <xf numFmtId="0" fontId="11" fillId="0" borderId="45" xfId="0" applyFont="1" applyBorder="1" applyAlignment="1">
      <alignment vertical="center"/>
    </xf>
    <xf numFmtId="0" fontId="11" fillId="34" borderId="45" xfId="0" applyFont="1" applyFill="1" applyBorder="1" applyAlignment="1">
      <alignment vertical="center"/>
    </xf>
    <xf numFmtId="165" fontId="11" fillId="34" borderId="45" xfId="0" applyNumberFormat="1" applyFont="1" applyFill="1" applyBorder="1" applyAlignment="1">
      <alignment vertical="center"/>
    </xf>
    <xf numFmtId="165" fontId="11" fillId="0" borderId="45" xfId="0" applyNumberFormat="1" applyFont="1" applyBorder="1" applyAlignment="1">
      <alignment vertical="center"/>
    </xf>
    <xf numFmtId="0" fontId="11" fillId="32" borderId="52" xfId="0" applyFont="1" applyFill="1" applyBorder="1" applyAlignment="1">
      <alignment horizontal="center" vertical="center" wrapText="1"/>
    </xf>
    <xf numFmtId="0" fontId="11" fillId="32" borderId="52" xfId="0" applyFont="1" applyFill="1" applyBorder="1" applyAlignment="1">
      <alignment vertical="center"/>
    </xf>
    <xf numFmtId="164" fontId="11" fillId="32" borderId="52" xfId="0" applyNumberFormat="1" applyFont="1" applyFill="1" applyBorder="1" applyAlignment="1">
      <alignment vertical="center"/>
    </xf>
    <xf numFmtId="0" fontId="37" fillId="32" borderId="52" xfId="0" applyFont="1" applyFill="1" applyBorder="1" applyAlignment="1">
      <alignment vertical="center"/>
    </xf>
    <xf numFmtId="165" fontId="11" fillId="32" borderId="52" xfId="0" applyNumberFormat="1" applyFont="1" applyFill="1" applyBorder="1" applyAlignment="1">
      <alignment vertical="center"/>
    </xf>
    <xf numFmtId="0" fontId="11" fillId="32" borderId="45" xfId="0" applyFont="1" applyFill="1" applyBorder="1" applyAlignment="1">
      <alignment vertical="center" wrapText="1"/>
    </xf>
    <xf numFmtId="0" fontId="11" fillId="32" borderId="49" xfId="0" applyFont="1" applyFill="1" applyBorder="1" applyAlignment="1">
      <alignment vertical="center" wrapText="1"/>
    </xf>
    <xf numFmtId="0" fontId="37" fillId="0" borderId="52" xfId="0" applyFont="1" applyBorder="1" applyAlignment="1">
      <alignment vertical="center"/>
    </xf>
    <xf numFmtId="0" fontId="11" fillId="0" borderId="52" xfId="0" applyFont="1" applyBorder="1" applyAlignment="1">
      <alignment horizontal="center" vertical="center" wrapText="1"/>
    </xf>
    <xf numFmtId="0" fontId="11" fillId="3" borderId="52" xfId="0" applyFont="1" applyFill="1" applyBorder="1" applyAlignment="1">
      <alignment horizontal="left" vertical="center" wrapText="1"/>
    </xf>
    <xf numFmtId="0" fontId="11" fillId="3" borderId="52" xfId="0" applyFont="1" applyFill="1" applyBorder="1" applyAlignment="1">
      <alignment vertical="center" wrapText="1"/>
    </xf>
    <xf numFmtId="0" fontId="11" fillId="3" borderId="46" xfId="0" applyFont="1" applyFill="1" applyBorder="1" applyAlignment="1">
      <alignment horizontal="center" vertical="center" wrapText="1"/>
    </xf>
    <xf numFmtId="164" fontId="11" fillId="34" borderId="45" xfId="0" applyNumberFormat="1" applyFont="1" applyFill="1" applyBorder="1" applyAlignment="1">
      <alignment vertical="center"/>
    </xf>
    <xf numFmtId="164" fontId="11" fillId="0" borderId="54" xfId="0" applyNumberFormat="1" applyFont="1" applyBorder="1" applyAlignment="1">
      <alignment vertical="center"/>
    </xf>
    <xf numFmtId="0" fontId="38" fillId="32" borderId="58" xfId="0" applyFont="1" applyFill="1" applyBorder="1" applyAlignment="1">
      <alignment vertical="center"/>
    </xf>
    <xf numFmtId="164" fontId="38" fillId="32" borderId="58" xfId="0" applyNumberFormat="1" applyFont="1" applyFill="1" applyBorder="1" applyAlignment="1">
      <alignment vertical="center"/>
    </xf>
    <xf numFmtId="0" fontId="38" fillId="32" borderId="59" xfId="0" applyFont="1" applyFill="1" applyBorder="1" applyAlignment="1">
      <alignment vertical="center"/>
    </xf>
    <xf numFmtId="164" fontId="38" fillId="32" borderId="60" xfId="0" applyNumberFormat="1" applyFont="1" applyFill="1" applyBorder="1" applyAlignment="1">
      <alignment vertical="center"/>
    </xf>
    <xf numFmtId="0" fontId="38" fillId="0" borderId="0" xfId="0" applyFont="1" applyAlignment="1">
      <alignment vertical="center"/>
    </xf>
    <xf numFmtId="165" fontId="11" fillId="0" borderId="0" xfId="0" applyNumberFormat="1" applyFont="1" applyAlignment="1">
      <alignment vertical="center"/>
    </xf>
    <xf numFmtId="0" fontId="29" fillId="32" borderId="45" xfId="0" applyFont="1" applyFill="1" applyBorder="1" applyAlignment="1">
      <alignment horizontal="center" vertical="center" wrapText="1"/>
    </xf>
    <xf numFmtId="0" fontId="29" fillId="33" borderId="52" xfId="0" applyFont="1" applyFill="1" applyBorder="1" applyAlignment="1">
      <alignment horizontal="center" vertical="center" wrapText="1"/>
    </xf>
    <xf numFmtId="0" fontId="39" fillId="38" borderId="61" xfId="0" applyFont="1" applyFill="1" applyBorder="1" applyAlignment="1">
      <alignment horizontal="center" vertical="center" wrapText="1"/>
    </xf>
    <xf numFmtId="0" fontId="35" fillId="3" borderId="0" xfId="0" applyFont="1" applyFill="1" applyAlignment="1">
      <alignment vertical="center"/>
    </xf>
    <xf numFmtId="0" fontId="11" fillId="0" borderId="0" xfId="0" applyFont="1"/>
    <xf numFmtId="0" fontId="11" fillId="3" borderId="62" xfId="0" applyFont="1" applyFill="1" applyBorder="1"/>
    <xf numFmtId="0" fontId="29" fillId="32" borderId="49" xfId="0" applyFont="1" applyFill="1" applyBorder="1" applyAlignment="1">
      <alignment horizontal="center" vertical="center" wrapText="1"/>
    </xf>
    <xf numFmtId="0" fontId="39" fillId="38" borderId="57" xfId="0" applyFont="1" applyFill="1" applyBorder="1" applyAlignment="1">
      <alignment horizontal="center" vertical="center" wrapText="1"/>
    </xf>
    <xf numFmtId="0" fontId="35" fillId="3" borderId="64" xfId="0" applyFont="1" applyFill="1" applyBorder="1" applyAlignment="1">
      <alignment vertical="center"/>
    </xf>
    <xf numFmtId="0" fontId="11" fillId="0" borderId="53" xfId="0" applyFont="1" applyBorder="1" applyAlignment="1">
      <alignment vertical="center"/>
    </xf>
    <xf numFmtId="0" fontId="11" fillId="38" borderId="61" xfId="0" applyFont="1" applyFill="1" applyBorder="1" applyAlignment="1">
      <alignment vertical="center"/>
    </xf>
    <xf numFmtId="0" fontId="11" fillId="3" borderId="65" xfId="0" applyFont="1" applyFill="1" applyBorder="1" applyAlignment="1">
      <alignment vertical="center"/>
    </xf>
    <xf numFmtId="0" fontId="11" fillId="38" borderId="52" xfId="0" applyFont="1" applyFill="1" applyBorder="1" applyAlignment="1">
      <alignment vertical="center"/>
    </xf>
    <xf numFmtId="164" fontId="11" fillId="0" borderId="49" xfId="0" applyNumberFormat="1" applyFont="1" applyBorder="1" applyAlignment="1">
      <alignment vertical="center"/>
    </xf>
    <xf numFmtId="165" fontId="11" fillId="0" borderId="49" xfId="0" applyNumberFormat="1" applyFont="1" applyBorder="1" applyAlignment="1">
      <alignment vertical="center"/>
    </xf>
    <xf numFmtId="0" fontId="11" fillId="38" borderId="63" xfId="0" applyFont="1" applyFill="1" applyBorder="1" applyAlignment="1">
      <alignment vertical="center"/>
    </xf>
    <xf numFmtId="0" fontId="11" fillId="3" borderId="49" xfId="0" applyFont="1" applyFill="1" applyBorder="1" applyAlignment="1">
      <alignment vertical="center"/>
    </xf>
    <xf numFmtId="0" fontId="40" fillId="3" borderId="66" xfId="0" applyFont="1" applyFill="1" applyBorder="1" applyAlignment="1">
      <alignment vertical="center"/>
    </xf>
    <xf numFmtId="0" fontId="11" fillId="38" borderId="53" xfId="0" applyFont="1" applyFill="1" applyBorder="1" applyAlignment="1">
      <alignment vertical="center"/>
    </xf>
    <xf numFmtId="0" fontId="40" fillId="3" borderId="64" xfId="0" applyFont="1" applyFill="1" applyBorder="1" applyAlignment="1">
      <alignment vertical="center"/>
    </xf>
    <xf numFmtId="164" fontId="11" fillId="0" borderId="53" xfId="0" applyNumberFormat="1" applyFont="1" applyBorder="1" applyAlignment="1">
      <alignment vertical="center"/>
    </xf>
    <xf numFmtId="165" fontId="11" fillId="38" borderId="53" xfId="0" applyNumberFormat="1" applyFont="1" applyFill="1" applyBorder="1" applyAlignment="1">
      <alignment vertical="center"/>
    </xf>
    <xf numFmtId="0" fontId="11" fillId="3" borderId="64" xfId="0" applyFont="1" applyFill="1" applyBorder="1" applyAlignment="1">
      <alignment vertical="center"/>
    </xf>
    <xf numFmtId="0" fontId="41" fillId="3" borderId="59" xfId="0" applyFont="1" applyFill="1" applyBorder="1" applyAlignment="1">
      <alignment readingOrder="1"/>
    </xf>
    <xf numFmtId="165" fontId="11" fillId="0" borderId="0" xfId="0" applyNumberFormat="1" applyFont="1"/>
    <xf numFmtId="0" fontId="11" fillId="0" borderId="53" xfId="0" applyFont="1" applyBorder="1" applyAlignment="1">
      <alignment horizontal="left" vertical="center" wrapText="1"/>
    </xf>
    <xf numFmtId="0" fontId="11" fillId="0" borderId="60" xfId="0" applyFont="1" applyBorder="1" applyAlignment="1">
      <alignment horizontal="left" vertical="center" wrapText="1"/>
    </xf>
    <xf numFmtId="164" fontId="11" fillId="0" borderId="60" xfId="0" applyNumberFormat="1" applyFont="1" applyBorder="1" applyAlignment="1">
      <alignment vertical="center"/>
    </xf>
    <xf numFmtId="165" fontId="11" fillId="38" borderId="52" xfId="0" applyNumberFormat="1" applyFont="1" applyFill="1" applyBorder="1" applyAlignment="1">
      <alignment vertical="center"/>
    </xf>
    <xf numFmtId="164" fontId="11" fillId="0" borderId="56" xfId="0" applyNumberFormat="1" applyFont="1" applyBorder="1" applyAlignment="1">
      <alignment vertical="center"/>
    </xf>
    <xf numFmtId="165" fontId="11" fillId="38" borderId="63" xfId="0" applyNumberFormat="1" applyFont="1" applyFill="1" applyBorder="1" applyAlignment="1">
      <alignment vertical="center"/>
    </xf>
    <xf numFmtId="164" fontId="11" fillId="3" borderId="49" xfId="0" applyNumberFormat="1" applyFont="1" applyFill="1" applyBorder="1" applyAlignment="1">
      <alignment vertical="center"/>
    </xf>
    <xf numFmtId="164" fontId="11" fillId="3" borderId="64" xfId="0" applyNumberFormat="1" applyFont="1" applyFill="1" applyBorder="1" applyAlignment="1">
      <alignment vertical="center"/>
    </xf>
    <xf numFmtId="164" fontId="11" fillId="3" borderId="45" xfId="0" applyNumberFormat="1" applyFont="1" applyFill="1" applyBorder="1" applyAlignment="1">
      <alignment vertical="center"/>
    </xf>
    <xf numFmtId="164" fontId="11" fillId="0" borderId="61" xfId="0" applyNumberFormat="1" applyFont="1" applyBorder="1" applyAlignment="1">
      <alignment vertical="center"/>
    </xf>
    <xf numFmtId="165" fontId="11" fillId="38" borderId="61" xfId="0" applyNumberFormat="1" applyFont="1" applyFill="1" applyBorder="1" applyAlignment="1">
      <alignment vertical="center"/>
    </xf>
    <xf numFmtId="165" fontId="11" fillId="38" borderId="67" xfId="0" applyNumberFormat="1" applyFont="1" applyFill="1" applyBorder="1" applyAlignment="1">
      <alignment vertical="center"/>
    </xf>
    <xf numFmtId="0" fontId="11" fillId="3" borderId="46" xfId="0" applyFont="1" applyFill="1" applyBorder="1" applyAlignment="1">
      <alignment vertical="center"/>
    </xf>
    <xf numFmtId="164" fontId="11" fillId="0" borderId="67" xfId="0" applyNumberFormat="1" applyFont="1" applyBorder="1" applyAlignment="1">
      <alignment vertical="center"/>
    </xf>
    <xf numFmtId="0" fontId="11" fillId="3" borderId="0" xfId="0" applyFont="1" applyFill="1" applyAlignment="1">
      <alignment vertical="center"/>
    </xf>
    <xf numFmtId="165" fontId="11" fillId="0" borderId="61" xfId="0" applyNumberFormat="1" applyFont="1" applyBorder="1" applyAlignment="1">
      <alignment vertical="center"/>
    </xf>
    <xf numFmtId="0" fontId="11" fillId="0" borderId="67" xfId="0" applyFont="1" applyBorder="1" applyAlignment="1">
      <alignment vertical="center"/>
    </xf>
    <xf numFmtId="0" fontId="11" fillId="38" borderId="45" xfId="0" applyFont="1" applyFill="1" applyBorder="1" applyAlignment="1">
      <alignment vertical="center"/>
    </xf>
    <xf numFmtId="0" fontId="11" fillId="3" borderId="60" xfId="0" applyFont="1" applyFill="1" applyBorder="1" applyAlignment="1">
      <alignment vertical="center"/>
    </xf>
    <xf numFmtId="0" fontId="41" fillId="3" borderId="0" xfId="0" applyFont="1" applyFill="1" applyAlignment="1">
      <alignment readingOrder="1"/>
    </xf>
    <xf numFmtId="0" fontId="38" fillId="32" borderId="60" xfId="0" applyFont="1" applyFill="1" applyBorder="1" applyAlignment="1">
      <alignment vertical="center"/>
    </xf>
    <xf numFmtId="0" fontId="13" fillId="2" borderId="69" xfId="0" applyFont="1" applyFill="1" applyBorder="1" applyAlignment="1">
      <alignment vertical="center"/>
    </xf>
    <xf numFmtId="0" fontId="14" fillId="0" borderId="69" xfId="0" applyFont="1" applyBorder="1"/>
    <xf numFmtId="0" fontId="14" fillId="0" borderId="69" xfId="0" applyFont="1" applyBorder="1" applyAlignment="1">
      <alignment horizontal="center" vertical="center"/>
    </xf>
    <xf numFmtId="0" fontId="15" fillId="3" borderId="69" xfId="0" applyFont="1" applyFill="1" applyBorder="1" applyAlignment="1">
      <alignment vertical="center" readingOrder="1"/>
    </xf>
    <xf numFmtId="0" fontId="14" fillId="29" borderId="69" xfId="0" applyFont="1" applyFill="1" applyBorder="1" applyAlignment="1">
      <alignment vertical="top"/>
    </xf>
    <xf numFmtId="0" fontId="14" fillId="29" borderId="69" xfId="0" applyFont="1" applyFill="1" applyBorder="1"/>
    <xf numFmtId="0" fontId="0" fillId="0" borderId="69" xfId="0" applyBorder="1"/>
    <xf numFmtId="0" fontId="13" fillId="2" borderId="5" xfId="0" applyFont="1" applyFill="1" applyBorder="1" applyAlignment="1">
      <alignment vertical="center"/>
    </xf>
    <xf numFmtId="0" fontId="14" fillId="0" borderId="5" xfId="0" applyFont="1" applyBorder="1"/>
    <xf numFmtId="0" fontId="14" fillId="29" borderId="5" xfId="0" applyFont="1" applyFill="1" applyBorder="1" applyAlignment="1">
      <alignment vertical="top"/>
    </xf>
    <xf numFmtId="0" fontId="14" fillId="29" borderId="5" xfId="0" applyFont="1" applyFill="1" applyBorder="1"/>
    <xf numFmtId="0" fontId="0" fillId="0" borderId="5" xfId="0" applyBorder="1"/>
    <xf numFmtId="0" fontId="13" fillId="2" borderId="70" xfId="0" applyFont="1" applyFill="1" applyBorder="1" applyAlignment="1">
      <alignment vertical="center" wrapText="1"/>
    </xf>
    <xf numFmtId="0" fontId="15" fillId="0" borderId="71" xfId="0" applyFont="1" applyBorder="1" applyAlignment="1">
      <alignment vertical="center" wrapText="1"/>
    </xf>
    <xf numFmtId="0" fontId="14" fillId="0" borderId="71" xfId="0" applyFont="1" applyBorder="1" applyAlignment="1">
      <alignment wrapText="1"/>
    </xf>
    <xf numFmtId="0" fontId="15" fillId="0" borderId="71" xfId="0" applyFont="1" applyBorder="1" applyAlignment="1">
      <alignment horizontal="left" vertical="center" wrapText="1"/>
    </xf>
    <xf numFmtId="0" fontId="15" fillId="0" borderId="71" xfId="0" applyFont="1" applyBorder="1" applyAlignment="1">
      <alignment wrapText="1"/>
    </xf>
    <xf numFmtId="0" fontId="14" fillId="29" borderId="71" xfId="0" applyFont="1" applyFill="1" applyBorder="1" applyAlignment="1">
      <alignment vertical="top" wrapText="1"/>
    </xf>
    <xf numFmtId="0" fontId="14" fillId="29" borderId="71" xfId="0" applyFont="1" applyFill="1" applyBorder="1" applyAlignment="1">
      <alignment wrapText="1"/>
    </xf>
    <xf numFmtId="0" fontId="28" fillId="29" borderId="71" xfId="3" applyFont="1" applyFill="1" applyBorder="1" applyAlignment="1">
      <alignment wrapText="1"/>
    </xf>
    <xf numFmtId="0" fontId="0" fillId="0" borderId="71" xfId="0" applyBorder="1" applyAlignment="1">
      <alignment wrapText="1"/>
    </xf>
    <xf numFmtId="0" fontId="15" fillId="39" borderId="1" xfId="0" applyFont="1" applyFill="1" applyBorder="1" applyAlignment="1">
      <alignment vertical="top" wrapText="1"/>
    </xf>
    <xf numFmtId="0" fontId="15" fillId="39" borderId="1" xfId="0" applyFont="1" applyFill="1" applyBorder="1" applyAlignment="1">
      <alignment wrapText="1"/>
    </xf>
    <xf numFmtId="0" fontId="28" fillId="39" borderId="1" xfId="0" applyFont="1" applyFill="1" applyBorder="1" applyAlignment="1">
      <alignment wrapText="1"/>
    </xf>
    <xf numFmtId="0" fontId="5" fillId="0" borderId="1" xfId="0" applyFont="1" applyBorder="1"/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left" vertical="center" wrapText="1"/>
    </xf>
    <xf numFmtId="166" fontId="15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1" fillId="3" borderId="45" xfId="0" applyFont="1" applyFill="1" applyBorder="1" applyAlignment="1">
      <alignment horizontal="center" vertical="center" wrapText="1"/>
    </xf>
    <xf numFmtId="0" fontId="11" fillId="3" borderId="49" xfId="0" applyFont="1" applyFill="1" applyBorder="1" applyAlignment="1">
      <alignment horizontal="center" vertical="center" wrapText="1"/>
    </xf>
    <xf numFmtId="0" fontId="29" fillId="33" borderId="46" xfId="0" applyFont="1" applyFill="1" applyBorder="1" applyAlignment="1">
      <alignment horizontal="center" vertical="center" wrapText="1"/>
    </xf>
    <xf numFmtId="0" fontId="29" fillId="33" borderId="50" xfId="0" applyFont="1" applyFill="1" applyBorder="1" applyAlignment="1">
      <alignment horizontal="center" vertical="center" wrapText="1"/>
    </xf>
    <xf numFmtId="0" fontId="33" fillId="34" borderId="45" xfId="0" applyFont="1" applyFill="1" applyBorder="1" applyAlignment="1">
      <alignment horizontal="center" vertical="center" wrapText="1"/>
    </xf>
    <xf numFmtId="0" fontId="33" fillId="34" borderId="49" xfId="0" applyFont="1" applyFill="1" applyBorder="1" applyAlignment="1">
      <alignment horizontal="center" vertical="center" wrapText="1"/>
    </xf>
    <xf numFmtId="0" fontId="29" fillId="31" borderId="47" xfId="0" applyFont="1" applyFill="1" applyBorder="1" applyAlignment="1">
      <alignment horizontal="center" vertical="center" wrapText="1"/>
    </xf>
    <xf numFmtId="0" fontId="29" fillId="31" borderId="51" xfId="0" applyFont="1" applyFill="1" applyBorder="1" applyAlignment="1">
      <alignment horizontal="center" vertical="center" wrapText="1"/>
    </xf>
    <xf numFmtId="0" fontId="29" fillId="31" borderId="8" xfId="0" applyFont="1" applyFill="1" applyBorder="1" applyAlignment="1">
      <alignment horizontal="center" vertical="center" wrapText="1"/>
    </xf>
    <xf numFmtId="0" fontId="29" fillId="31" borderId="3" xfId="0" applyFont="1" applyFill="1" applyBorder="1" applyAlignment="1">
      <alignment horizontal="center" vertical="center" wrapText="1"/>
    </xf>
    <xf numFmtId="0" fontId="32" fillId="33" borderId="45" xfId="0" applyFont="1" applyFill="1" applyBorder="1" applyAlignment="1">
      <alignment horizontal="center" vertical="center" wrapText="1"/>
    </xf>
    <xf numFmtId="0" fontId="32" fillId="33" borderId="49" xfId="0" applyFont="1" applyFill="1" applyBorder="1" applyAlignment="1">
      <alignment horizontal="center" vertical="center" wrapText="1"/>
    </xf>
    <xf numFmtId="0" fontId="29" fillId="35" borderId="45" xfId="0" applyFont="1" applyFill="1" applyBorder="1" applyAlignment="1">
      <alignment horizontal="center" vertical="center" wrapText="1"/>
    </xf>
    <xf numFmtId="0" fontId="29" fillId="35" borderId="49" xfId="0" applyFont="1" applyFill="1" applyBorder="1" applyAlignment="1">
      <alignment horizontal="center" vertical="center" wrapText="1"/>
    </xf>
    <xf numFmtId="0" fontId="29" fillId="33" borderId="45" xfId="0" applyFont="1" applyFill="1" applyBorder="1" applyAlignment="1">
      <alignment horizontal="center" vertical="center" wrapText="1"/>
    </xf>
    <xf numFmtId="0" fontId="29" fillId="33" borderId="49" xfId="0" applyFont="1" applyFill="1" applyBorder="1" applyAlignment="1">
      <alignment horizontal="center" vertical="center" wrapText="1"/>
    </xf>
    <xf numFmtId="0" fontId="30" fillId="33" borderId="46" xfId="0" applyFont="1" applyFill="1" applyBorder="1" applyAlignment="1">
      <alignment horizontal="center" vertical="center" wrapText="1"/>
    </xf>
    <xf numFmtId="0" fontId="30" fillId="33" borderId="50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5" fillId="36" borderId="0" xfId="0" applyFont="1" applyFill="1" applyAlignment="1">
      <alignment horizontal="left" vertical="center"/>
    </xf>
    <xf numFmtId="0" fontId="34" fillId="0" borderId="10" xfId="0" applyFont="1" applyBorder="1" applyAlignment="1">
      <alignment horizontal="center" vertical="center"/>
    </xf>
    <xf numFmtId="0" fontId="11" fillId="3" borderId="54" xfId="0" applyFont="1" applyFill="1" applyBorder="1" applyAlignment="1">
      <alignment horizontal="center" vertical="center" wrapText="1"/>
    </xf>
    <xf numFmtId="0" fontId="11" fillId="3" borderId="55" xfId="0" applyFont="1" applyFill="1" applyBorder="1" applyAlignment="1">
      <alignment horizontal="center" vertical="center" wrapText="1"/>
    </xf>
    <xf numFmtId="0" fontId="11" fillId="3" borderId="56" xfId="0" applyFont="1" applyFill="1" applyBorder="1" applyAlignment="1">
      <alignment horizontal="center" vertical="center" wrapText="1"/>
    </xf>
    <xf numFmtId="0" fontId="11" fillId="32" borderId="45" xfId="0" applyFont="1" applyFill="1" applyBorder="1" applyAlignment="1">
      <alignment horizontal="center" vertical="center" wrapText="1"/>
    </xf>
    <xf numFmtId="0" fontId="11" fillId="32" borderId="46" xfId="0" applyFont="1" applyFill="1" applyBorder="1" applyAlignment="1">
      <alignment horizontal="center" vertical="center" wrapText="1"/>
    </xf>
    <xf numFmtId="0" fontId="11" fillId="32" borderId="49" xfId="0" applyFont="1" applyFill="1" applyBorder="1" applyAlignment="1">
      <alignment horizontal="center" vertical="center" wrapText="1"/>
    </xf>
    <xf numFmtId="0" fontId="11" fillId="32" borderId="45" xfId="0" applyFont="1" applyFill="1" applyBorder="1" applyAlignment="1">
      <alignment vertical="center" wrapText="1"/>
    </xf>
    <xf numFmtId="0" fontId="11" fillId="32" borderId="49" xfId="0" applyFont="1" applyFill="1" applyBorder="1" applyAlignment="1">
      <alignment vertical="center" wrapText="1"/>
    </xf>
    <xf numFmtId="164" fontId="11" fillId="32" borderId="45" xfId="0" applyNumberFormat="1" applyFont="1" applyFill="1" applyBorder="1" applyAlignment="1">
      <alignment vertical="center"/>
    </xf>
    <xf numFmtId="164" fontId="11" fillId="32" borderId="49" xfId="0" applyNumberFormat="1" applyFont="1" applyFill="1" applyBorder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2" borderId="45" xfId="0" applyFont="1" applyFill="1" applyBorder="1" applyAlignment="1">
      <alignment vertical="center"/>
    </xf>
    <xf numFmtId="0" fontId="11" fillId="32" borderId="49" xfId="0" applyFont="1" applyFill="1" applyBorder="1" applyAlignment="1">
      <alignment vertical="center"/>
    </xf>
    <xf numFmtId="165" fontId="11" fillId="32" borderId="45" xfId="0" applyNumberFormat="1" applyFont="1" applyFill="1" applyBorder="1" applyAlignment="1">
      <alignment vertical="center"/>
    </xf>
    <xf numFmtId="165" fontId="11" fillId="32" borderId="49" xfId="0" applyNumberFormat="1" applyFont="1" applyFill="1" applyBorder="1" applyAlignment="1">
      <alignment vertical="center"/>
    </xf>
    <xf numFmtId="0" fontId="11" fillId="0" borderId="57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45" xfId="0" applyFont="1" applyBorder="1" applyAlignment="1">
      <alignment vertical="center"/>
    </xf>
    <xf numFmtId="0" fontId="11" fillId="0" borderId="49" xfId="0" applyFont="1" applyBorder="1" applyAlignment="1">
      <alignment vertical="center"/>
    </xf>
    <xf numFmtId="0" fontId="11" fillId="33" borderId="53" xfId="0" applyFont="1" applyFill="1" applyBorder="1" applyAlignment="1">
      <alignment horizontal="left" vertical="center" wrapText="1"/>
    </xf>
    <xf numFmtId="0" fontId="11" fillId="33" borderId="60" xfId="0" applyFont="1" applyFill="1" applyBorder="1" applyAlignment="1">
      <alignment horizontal="left" vertical="center" wrapText="1"/>
    </xf>
    <xf numFmtId="0" fontId="35" fillId="36" borderId="61" xfId="0" applyFont="1" applyFill="1" applyBorder="1" applyAlignment="1">
      <alignment horizontal="center" vertical="center"/>
    </xf>
    <xf numFmtId="0" fontId="35" fillId="36" borderId="54" xfId="0" applyFont="1" applyFill="1" applyBorder="1" applyAlignment="1">
      <alignment horizontal="center" vertical="center"/>
    </xf>
    <xf numFmtId="0" fontId="35" fillId="36" borderId="63" xfId="0" applyFont="1" applyFill="1" applyBorder="1" applyAlignment="1">
      <alignment horizontal="center" vertical="center"/>
    </xf>
    <xf numFmtId="0" fontId="35" fillId="36" borderId="56" xfId="0" applyFont="1" applyFill="1" applyBorder="1" applyAlignment="1">
      <alignment horizontal="center" vertical="center"/>
    </xf>
    <xf numFmtId="0" fontId="29" fillId="37" borderId="45" xfId="0" applyFont="1" applyFill="1" applyBorder="1" applyAlignment="1">
      <alignment horizontal="center" vertical="center" wrapText="1"/>
    </xf>
    <xf numFmtId="0" fontId="29" fillId="37" borderId="49" xfId="0" applyFont="1" applyFill="1" applyBorder="1" applyAlignment="1">
      <alignment horizontal="center" vertical="center" wrapText="1"/>
    </xf>
    <xf numFmtId="0" fontId="11" fillId="3" borderId="53" xfId="0" applyFont="1" applyFill="1" applyBorder="1" applyAlignment="1">
      <alignment horizontal="left" vertical="center" wrapText="1"/>
    </xf>
    <xf numFmtId="0" fontId="11" fillId="3" borderId="60" xfId="0" applyFont="1" applyFill="1" applyBorder="1" applyAlignment="1">
      <alignment horizontal="left" vertical="center" wrapText="1"/>
    </xf>
    <xf numFmtId="0" fontId="11" fillId="0" borderId="53" xfId="0" applyFont="1" applyBorder="1" applyAlignment="1">
      <alignment horizontal="left" vertical="center" wrapText="1"/>
    </xf>
    <xf numFmtId="0" fontId="11" fillId="0" borderId="60" xfId="0" applyFont="1" applyBorder="1" applyAlignment="1">
      <alignment horizontal="left" vertical="center" wrapText="1"/>
    </xf>
    <xf numFmtId="0" fontId="38" fillId="32" borderId="53" xfId="0" applyFont="1" applyFill="1" applyBorder="1" applyAlignment="1">
      <alignment horizontal="center"/>
    </xf>
    <xf numFmtId="0" fontId="38" fillId="32" borderId="68" xfId="0" applyFont="1" applyFill="1" applyBorder="1" applyAlignment="1">
      <alignment horizontal="center"/>
    </xf>
    <xf numFmtId="0" fontId="7" fillId="4" borderId="2" xfId="0" applyFont="1" applyFill="1" applyBorder="1" applyAlignment="1"/>
    <xf numFmtId="0" fontId="7" fillId="7" borderId="2" xfId="0" applyFont="1" applyFill="1" applyBorder="1" applyAlignment="1"/>
    <xf numFmtId="0" fontId="7" fillId="4" borderId="3" xfId="0" applyFont="1" applyFill="1" applyBorder="1" applyAlignment="1"/>
    <xf numFmtId="0" fontId="7" fillId="7" borderId="3" xfId="0" applyFont="1" applyFill="1" applyBorder="1" applyAlignment="1"/>
    <xf numFmtId="0" fontId="11" fillId="10" borderId="8" xfId="0" applyFont="1" applyFill="1" applyBorder="1" applyAlignment="1"/>
    <xf numFmtId="0" fontId="11" fillId="10" borderId="3" xfId="0" applyFont="1" applyFill="1" applyBorder="1" applyAlignment="1"/>
    <xf numFmtId="0" fontId="11" fillId="13" borderId="8" xfId="0" applyFont="1" applyFill="1" applyBorder="1" applyAlignment="1"/>
    <xf numFmtId="0" fontId="11" fillId="13" borderId="9" xfId="0" applyFont="1" applyFill="1" applyBorder="1" applyAlignment="1"/>
    <xf numFmtId="0" fontId="11" fillId="14" borderId="8" xfId="0" applyFont="1" applyFill="1" applyBorder="1" applyAlignment="1"/>
    <xf numFmtId="0" fontId="11" fillId="14" borderId="3" xfId="0" applyFont="1" applyFill="1" applyBorder="1" applyAlignment="1"/>
  </cellXfs>
  <cellStyles count="4">
    <cellStyle name="Hyperlink" xfId="2" builtinId="8"/>
    <cellStyle name="Normal" xfId="0" builtinId="0"/>
    <cellStyle name="Normal 2" xfId="3" xr:uid="{AD397AAF-A935-43E7-94FE-165F53738C53}"/>
    <cellStyle name="Percent" xfId="1" builtinId="5"/>
  </cellStyles>
  <dxfs count="1">
    <dxf>
      <fill>
        <patternFill patternType="solid">
          <fgColor rgb="FFF8696B"/>
          <bgColor rgb="FFF8696B"/>
        </patternFill>
      </fill>
    </dxf>
  </dxfs>
  <tableStyles count="0" defaultTableStyle="TableStyleMedium9" defaultPivotStyle="PivotStyleLight16"/>
  <colors>
    <mruColors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ieshan_misri_iitbacr_com/Documents/Microsoft%20Teams%20Chat%20Files/Academic%20hostel%20Spaces%20data_26122025%201.xlsx" TargetMode="External"/><Relationship Id="rId2" Type="http://schemas.openxmlformats.org/officeDocument/2006/relationships/externalLinkPath" Target="https://iitbacr-my.sharepoint.com/personal/ieshan_misri_iitbacr_com/Documents/Microsoft%20Teams%20Chat%20Files/Academic%20hostel%20Spaces%20data_26122025%201.xlsx" TargetMode="External"/><Relationship Id="rId1" Type="http://schemas.openxmlformats.org/officeDocument/2006/relationships/externalLinkPath" Target="/personal/ieshan_misri_iitbacr_com/Documents/Microsoft%20Teams%20Chat%20Files/Academic%20hostel%20Spaces%20data_26122025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cademic Space"/>
      <sheetName val="Hostel"/>
    </sheetNames>
    <sheetDataSet>
      <sheetData sheetId="0"/>
      <sheetData sheetId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:f:/r/personal/siddhant_gupta_iitbacr_com/Documents/INFRA/ASB2/Designs?csf=1&amp;web=1&amp;e=dAuwd0" TargetMode="External"/><Relationship Id="rId13" Type="http://schemas.openxmlformats.org/officeDocument/2006/relationships/hyperlink" Target="../../../:f:/r/personal/siddhant_gupta_iitbacr_com/Documents/INFRA/AB1/Reports?csf=1&amp;web=1&amp;e=IIaCJu" TargetMode="External"/><Relationship Id="rId18" Type="http://schemas.openxmlformats.org/officeDocument/2006/relationships/hyperlink" Target="../../../:f:/r/personal/siddhant_gupta_iitbacr_com/Documents/INFRA/ASB2/Reports?csf=1&amp;web=1&amp;e=RTcJVe" TargetMode="External"/><Relationship Id="rId26" Type="http://schemas.openxmlformats.org/officeDocument/2006/relationships/hyperlink" Target="mailto:bdesai.mail@gmail.com" TargetMode="External"/><Relationship Id="rId3" Type="http://schemas.openxmlformats.org/officeDocument/2006/relationships/hyperlink" Target="../../../:f:/p/siddhant_gupta/IgBfNMMTHttqQ7vSxZvjwVMEAeZ_LDN-0rtCs1cJ0Rkqh0s?e=tYksf1" TargetMode="External"/><Relationship Id="rId21" Type="http://schemas.openxmlformats.org/officeDocument/2006/relationships/hyperlink" Target="../../../:f:/r/personal/siddhant_gupta_iitbacr_com/Documents/INFRA/Hostel%206/Reports?csf=1&amp;web=1&amp;e=W4csCE" TargetMode="External"/><Relationship Id="rId7" Type="http://schemas.openxmlformats.org/officeDocument/2006/relationships/hyperlink" Target="../../../:f:/r/personal/siddhant_gupta_iitbacr_com/Documents/INFRA/ASB1/Designs?csf=1&amp;web=1&amp;e=k2uIZ2" TargetMode="External"/><Relationship Id="rId12" Type="http://schemas.openxmlformats.org/officeDocument/2006/relationships/hyperlink" Target="../../../:f:/r/personal/siddhant_gupta_iitbacr_com/Documents/INFRA/Hostel%209/Pictures?csf=1&amp;web=1&amp;e=sv21Y9" TargetMode="External"/><Relationship Id="rId17" Type="http://schemas.openxmlformats.org/officeDocument/2006/relationships/hyperlink" Target="../../../:f:/r/personal/siddhant_gupta_iitbacr_com/Documents/INFRA/ASB1/Reports?csf=1&amp;web=1&amp;e=ghzzGm" TargetMode="External"/><Relationship Id="rId25" Type="http://schemas.openxmlformats.org/officeDocument/2006/relationships/hyperlink" Target="mailto:ravi.naware@gmail.com" TargetMode="External"/><Relationship Id="rId2" Type="http://schemas.openxmlformats.org/officeDocument/2006/relationships/hyperlink" Target="../../../:f:/p/siddhant_gupta/IgAbUwMu9gEER7LpY8B-p1OoAZEugT_9-wE9ZYvfU6fG-Jw?e=CzmcV7" TargetMode="External"/><Relationship Id="rId16" Type="http://schemas.openxmlformats.org/officeDocument/2006/relationships/hyperlink" Target="../../../:f:/r/personal/siddhant_gupta_iitbacr_com/Documents/INFRA/Alumni%20Center/Reports?csf=1&amp;web=1&amp;e=OC87kg" TargetMode="External"/><Relationship Id="rId20" Type="http://schemas.openxmlformats.org/officeDocument/2006/relationships/hyperlink" Target="../../../:f:/r/personal/siddhant_gupta_iitbacr_com/Documents/INFRA/Hostel%209/Reports?csf=1&amp;web=1&amp;e=WleEyh" TargetMode="External"/><Relationship Id="rId29" Type="http://schemas.openxmlformats.org/officeDocument/2006/relationships/hyperlink" Target="../../../:f:/r/personal/siddhant_gupta_iitbacr_com/Documents/INFRA/Research%20Hub/Photos?csf=1&amp;web=1&amp;e=E3I3N5" TargetMode="External"/><Relationship Id="rId1" Type="http://schemas.openxmlformats.org/officeDocument/2006/relationships/hyperlink" Target="../../../:f:/p/siddhant_gupta/IgCdKabfm-gwQL_3mz1DIDyUASrEZ6YR15bftulpbqYKx1s?e=xwQi8c" TargetMode="External"/><Relationship Id="rId6" Type="http://schemas.openxmlformats.org/officeDocument/2006/relationships/hyperlink" Target="../../../:f:/r/personal/siddhant_gupta_iitbacr_com/Documents/INFRA/AB2/Designs?csf=1&amp;web=1&amp;e=VVFi45" TargetMode="External"/><Relationship Id="rId11" Type="http://schemas.openxmlformats.org/officeDocument/2006/relationships/hyperlink" Target="../../../:f:/r/personal/siddhant_gupta_iitbacr_com/Documents/INFRA/Hostel%204/Pictures?csf=1&amp;web=1&amp;e=KIkdNN" TargetMode="External"/><Relationship Id="rId24" Type="http://schemas.openxmlformats.org/officeDocument/2006/relationships/hyperlink" Target="mailto:siddharth.l@browserstack.com" TargetMode="External"/><Relationship Id="rId5" Type="http://schemas.openxmlformats.org/officeDocument/2006/relationships/hyperlink" Target="../../../:f:/r/personal/siddhant_gupta_iitbacr_com/Documents/INFRA/AB3/Designs?csf=1&amp;web=1&amp;e=iDzfpf" TargetMode="External"/><Relationship Id="rId15" Type="http://schemas.openxmlformats.org/officeDocument/2006/relationships/hyperlink" Target="../../../:f:/r/personal/siddhant_gupta_iitbacr_com/Documents/INFRA/AB3/Reports?csf=1&amp;web=1&amp;e=a0MvRX" TargetMode="External"/><Relationship Id="rId23" Type="http://schemas.openxmlformats.org/officeDocument/2006/relationships/hyperlink" Target="../../../:f:/r/personal/siddhant_gupta_iitbacr_com/Documents/INFRA/Hostel%206/Designs?csf=1&amp;web=1&amp;e=54DD9Q" TargetMode="External"/><Relationship Id="rId28" Type="http://schemas.openxmlformats.org/officeDocument/2006/relationships/hyperlink" Target="../../../:f:/r/personal/siddhant_gupta_iitbacr_com/Documents/INFRA/COPT/Pictures?csf=1&amp;web=1&amp;e=FQbQtj" TargetMode="External"/><Relationship Id="rId10" Type="http://schemas.openxmlformats.org/officeDocument/2006/relationships/hyperlink" Target="../../../:f:/r/personal/siddhant_gupta_iitbacr_com/Documents/INFRA/Alumni%20Center/Pictures?csf=1&amp;web=1&amp;e=vpAYr1" TargetMode="External"/><Relationship Id="rId19" Type="http://schemas.openxmlformats.org/officeDocument/2006/relationships/hyperlink" Target="../../../:f:/r/personal/siddhant_gupta_iitbacr_com/Documents/INFRA/Hostel%204/Reports?csf=1&amp;web=1&amp;e=VcdZWY" TargetMode="External"/><Relationship Id="rId4" Type="http://schemas.openxmlformats.org/officeDocument/2006/relationships/hyperlink" Target="../../../:f:/r/personal/siddhant_gupta_iitbacr_com/Documents/INFRA/AB1/Designs?csf=1&amp;web=1&amp;e=DKlBq9" TargetMode="External"/><Relationship Id="rId9" Type="http://schemas.openxmlformats.org/officeDocument/2006/relationships/hyperlink" Target="../../../:f:/r/personal/siddhant_gupta_iitbacr_com/Documents/INFRA/Alumni%20Center/Designs?csf=1&amp;web=1&amp;e=dtyKqh" TargetMode="External"/><Relationship Id="rId14" Type="http://schemas.openxmlformats.org/officeDocument/2006/relationships/hyperlink" Target="../../../:f:/r/personal/siddhant_gupta_iitbacr_com/Documents/INFRA/AB2/Reports?csf=1&amp;web=1&amp;e=3sefVT" TargetMode="External"/><Relationship Id="rId22" Type="http://schemas.openxmlformats.org/officeDocument/2006/relationships/hyperlink" Target="../../../:f:/r/personal/siddhant_gupta_iitbacr_com/Documents/INFRA/Hostel%206/Pictures?csf=1&amp;web=1&amp;e=hjTLfC" TargetMode="External"/><Relationship Id="rId27" Type="http://schemas.openxmlformats.org/officeDocument/2006/relationships/hyperlink" Target="../../../:f:/r/personal/siddhant_gupta_iitbacr_com/Documents/INFRA/Gogri/Pictures?csf=1&amp;web=1&amp;e=oBV7sV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5812-72EB-4583-8D8C-20251A28EE80}">
  <dimension ref="A1:B45"/>
  <sheetViews>
    <sheetView workbookViewId="0">
      <selection activeCell="B44" sqref="B44"/>
    </sheetView>
  </sheetViews>
  <sheetFormatPr defaultRowHeight="14.45"/>
  <cols>
    <col min="1" max="1" width="18.140625" bestFit="1" customWidth="1"/>
    <col min="2" max="2" width="23.140625" bestFit="1" customWidth="1"/>
  </cols>
  <sheetData>
    <row r="1" spans="1:2">
      <c r="A1" s="268" t="s">
        <v>0</v>
      </c>
      <c r="B1" s="268" t="s">
        <v>1</v>
      </c>
    </row>
    <row r="2" spans="1:2">
      <c r="A2" s="49" t="s">
        <v>2</v>
      </c>
      <c r="B2" s="10" t="s">
        <v>3</v>
      </c>
    </row>
    <row r="3" spans="1:2" ht="43.5">
      <c r="A3" s="59" t="s">
        <v>4</v>
      </c>
      <c r="B3" s="10" t="s">
        <v>5</v>
      </c>
    </row>
    <row r="4" spans="1:2">
      <c r="A4" s="58" t="s">
        <v>6</v>
      </c>
      <c r="B4" s="10" t="s">
        <v>7</v>
      </c>
    </row>
    <row r="5" spans="1:2" ht="43.5">
      <c r="A5" s="59" t="s">
        <v>8</v>
      </c>
      <c r="B5" s="10" t="s">
        <v>9</v>
      </c>
    </row>
    <row r="6" spans="1:2">
      <c r="A6" s="59" t="s">
        <v>10</v>
      </c>
      <c r="B6" s="10" t="s">
        <v>11</v>
      </c>
    </row>
    <row r="7" spans="1:2">
      <c r="A7" s="59" t="s">
        <v>12</v>
      </c>
      <c r="B7" s="10" t="s">
        <v>13</v>
      </c>
    </row>
    <row r="8" spans="1:2">
      <c r="A8" s="58" t="s">
        <v>14</v>
      </c>
      <c r="B8" s="10" t="s">
        <v>15</v>
      </c>
    </row>
    <row r="9" spans="1:2">
      <c r="A9" s="58" t="s">
        <v>16</v>
      </c>
      <c r="B9" s="10" t="s">
        <v>17</v>
      </c>
    </row>
    <row r="10" spans="1:2">
      <c r="A10" s="59" t="s">
        <v>18</v>
      </c>
      <c r="B10" s="10" t="s">
        <v>19</v>
      </c>
    </row>
    <row r="11" spans="1:2">
      <c r="A11" s="49" t="s">
        <v>20</v>
      </c>
      <c r="B11" s="10" t="s">
        <v>21</v>
      </c>
    </row>
    <row r="12" spans="1:2">
      <c r="A12" s="58" t="s">
        <v>22</v>
      </c>
      <c r="B12" s="10" t="s">
        <v>23</v>
      </c>
    </row>
    <row r="13" spans="1:2">
      <c r="A13" s="49" t="s">
        <v>24</v>
      </c>
      <c r="B13" s="10" t="s">
        <v>25</v>
      </c>
    </row>
    <row r="14" spans="1:2">
      <c r="A14" s="58" t="s">
        <v>26</v>
      </c>
      <c r="B14" s="10" t="s">
        <v>27</v>
      </c>
    </row>
    <row r="15" spans="1:2">
      <c r="A15" s="58" t="s">
        <v>28</v>
      </c>
      <c r="B15" s="10" t="s">
        <v>29</v>
      </c>
    </row>
    <row r="16" spans="1:2">
      <c r="A16" s="59" t="s">
        <v>30</v>
      </c>
      <c r="B16" s="10" t="s">
        <v>31</v>
      </c>
    </row>
    <row r="17" spans="1:2" ht="29.1">
      <c r="A17" s="58" t="s">
        <v>32</v>
      </c>
      <c r="B17" s="10" t="s">
        <v>33</v>
      </c>
    </row>
    <row r="18" spans="1:2">
      <c r="A18" s="59" t="s">
        <v>34</v>
      </c>
      <c r="B18" s="10" t="s">
        <v>35</v>
      </c>
    </row>
    <row r="19" spans="1:2">
      <c r="A19" s="58" t="s">
        <v>36</v>
      </c>
      <c r="B19" s="10" t="s">
        <v>37</v>
      </c>
    </row>
    <row r="20" spans="1:2">
      <c r="A20" s="58" t="s">
        <v>38</v>
      </c>
      <c r="B20" s="10" t="s">
        <v>39</v>
      </c>
    </row>
    <row r="21" spans="1:2">
      <c r="A21" s="49" t="s">
        <v>40</v>
      </c>
      <c r="B21" s="10" t="s">
        <v>41</v>
      </c>
    </row>
    <row r="22" spans="1:2" ht="29.1">
      <c r="A22" s="49" t="s">
        <v>42</v>
      </c>
      <c r="B22" s="10" t="s">
        <v>43</v>
      </c>
    </row>
    <row r="23" spans="1:2">
      <c r="A23" s="59" t="s">
        <v>44</v>
      </c>
      <c r="B23" s="10" t="s">
        <v>45</v>
      </c>
    </row>
    <row r="24" spans="1:2">
      <c r="A24" s="59" t="s">
        <v>46</v>
      </c>
      <c r="B24" s="10" t="s">
        <v>47</v>
      </c>
    </row>
    <row r="25" spans="1:2">
      <c r="A25" s="59" t="s">
        <v>48</v>
      </c>
      <c r="B25" s="10" t="s">
        <v>49</v>
      </c>
    </row>
    <row r="26" spans="1:2">
      <c r="A26" s="59" t="s">
        <v>50</v>
      </c>
      <c r="B26" s="10" t="s">
        <v>51</v>
      </c>
    </row>
    <row r="27" spans="1:2">
      <c r="A27" s="59" t="s">
        <v>52</v>
      </c>
      <c r="B27" s="10" t="s">
        <v>53</v>
      </c>
    </row>
    <row r="28" spans="1:2">
      <c r="A28" s="59" t="s">
        <v>54</v>
      </c>
      <c r="B28" s="10" t="s">
        <v>55</v>
      </c>
    </row>
    <row r="29" spans="1:2">
      <c r="A29" s="59" t="s">
        <v>56</v>
      </c>
      <c r="B29" s="10" t="s">
        <v>57</v>
      </c>
    </row>
    <row r="30" spans="1:2" ht="43.5">
      <c r="A30" s="265" t="s">
        <v>58</v>
      </c>
      <c r="B30" s="10" t="s">
        <v>59</v>
      </c>
    </row>
    <row r="31" spans="1:2" ht="29.1">
      <c r="A31" s="266" t="s">
        <v>60</v>
      </c>
      <c r="B31" s="10" t="s">
        <v>61</v>
      </c>
    </row>
    <row r="32" spans="1:2" ht="43.5">
      <c r="A32" s="266" t="s">
        <v>62</v>
      </c>
      <c r="B32" s="10" t="s">
        <v>63</v>
      </c>
    </row>
    <row r="33" spans="1:2" ht="29.1">
      <c r="A33" s="265" t="s">
        <v>64</v>
      </c>
      <c r="B33" s="10" t="s">
        <v>65</v>
      </c>
    </row>
    <row r="34" spans="1:2" ht="29.1">
      <c r="A34" s="266" t="s">
        <v>66</v>
      </c>
      <c r="B34" s="10" t="s">
        <v>67</v>
      </c>
    </row>
    <row r="35" spans="1:2">
      <c r="A35" s="267" t="s">
        <v>68</v>
      </c>
      <c r="B35" s="10" t="s">
        <v>69</v>
      </c>
    </row>
    <row r="36" spans="1:2" ht="43.5">
      <c r="A36" s="267" t="s">
        <v>70</v>
      </c>
      <c r="B36" s="10" t="s">
        <v>71</v>
      </c>
    </row>
    <row r="37" spans="1:2" ht="29.1">
      <c r="A37" s="267" t="s">
        <v>72</v>
      </c>
      <c r="B37" s="10" t="s">
        <v>73</v>
      </c>
    </row>
    <row r="38" spans="1:2">
      <c r="A38" s="267" t="s">
        <v>74</v>
      </c>
      <c r="B38" s="10" t="s">
        <v>75</v>
      </c>
    </row>
    <row r="39" spans="1:2" ht="29.1">
      <c r="A39" s="267" t="s">
        <v>76</v>
      </c>
      <c r="B39" s="10" t="s">
        <v>77</v>
      </c>
    </row>
    <row r="40" spans="1:2">
      <c r="A40" s="267" t="s">
        <v>78</v>
      </c>
      <c r="B40" s="10" t="s">
        <v>79</v>
      </c>
    </row>
    <row r="41" spans="1:2">
      <c r="A41" s="267" t="s">
        <v>80</v>
      </c>
      <c r="B41" s="10" t="s">
        <v>81</v>
      </c>
    </row>
    <row r="42" spans="1:2">
      <c r="A42" s="267" t="s">
        <v>82</v>
      </c>
      <c r="B42" s="10" t="s">
        <v>83</v>
      </c>
    </row>
    <row r="43" spans="1:2">
      <c r="A43" s="267" t="s">
        <v>84</v>
      </c>
      <c r="B43" s="10" t="s">
        <v>85</v>
      </c>
    </row>
    <row r="44" spans="1:2" ht="29.1">
      <c r="A44" s="267" t="s">
        <v>86</v>
      </c>
      <c r="B44" s="10" t="s">
        <v>87</v>
      </c>
    </row>
    <row r="45" spans="1:2">
      <c r="A45" s="267" t="s">
        <v>88</v>
      </c>
      <c r="B45" s="10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45"/>
  <sheetViews>
    <sheetView tabSelected="1" topLeftCell="B4" zoomScale="70" zoomScaleNormal="70" workbookViewId="0">
      <pane xSplit="1" topLeftCell="G1" activePane="topRight" state="frozen"/>
      <selection pane="topRight" activeCell="G3" sqref="G3"/>
      <selection activeCell="B1" sqref="B1"/>
    </sheetView>
  </sheetViews>
  <sheetFormatPr defaultColWidth="8.7109375" defaultRowHeight="14.45"/>
  <cols>
    <col min="1" max="1" width="14" style="250" hidden="1" customWidth="1"/>
    <col min="2" max="2" width="37" style="264" customWidth="1"/>
    <col min="3" max="3" width="15.5703125" style="255" customWidth="1"/>
    <col min="4" max="4" width="20" style="10" customWidth="1"/>
    <col min="5" max="5" width="20.140625" style="10" customWidth="1"/>
    <col min="6" max="6" width="20" style="10" customWidth="1"/>
    <col min="7" max="7" width="20" style="46" customWidth="1"/>
    <col min="8" max="8" width="17.140625" style="70" customWidth="1"/>
    <col min="9" max="9" width="29.85546875" style="70" customWidth="1"/>
    <col min="10" max="10" width="26.7109375" style="70" customWidth="1"/>
    <col min="11" max="11" width="32.140625" style="70" customWidth="1"/>
    <col min="12" max="12" width="25.7109375" style="70" customWidth="1"/>
    <col min="13" max="13" width="20" style="10" hidden="1" customWidth="1"/>
    <col min="14" max="14" width="23.42578125" style="10" bestFit="1" customWidth="1"/>
    <col min="15" max="15" width="17.7109375" style="10" customWidth="1"/>
    <col min="16" max="16" width="26.5703125" style="10" customWidth="1"/>
    <col min="17" max="17" width="17.140625" style="10" customWidth="1"/>
    <col min="18" max="18" width="16.140625" style="10" customWidth="1"/>
    <col min="19" max="19" width="17.7109375" style="10" customWidth="1"/>
    <col min="20" max="20" width="43.42578125" style="10" bestFit="1" customWidth="1"/>
    <col min="21" max="21" width="20" style="19" customWidth="1"/>
    <col min="22" max="22" width="15.85546875" style="11" hidden="1" customWidth="1"/>
    <col min="23" max="25" width="0" style="10" hidden="1" customWidth="1"/>
    <col min="26" max="29" width="20" style="10" hidden="1" customWidth="1"/>
    <col min="30" max="32" width="0" style="10" hidden="1" customWidth="1"/>
    <col min="33" max="35" width="20" style="10" hidden="1" customWidth="1"/>
    <col min="36" max="36" width="0" style="10" hidden="1" customWidth="1"/>
    <col min="37" max="16384" width="8.7109375" style="10"/>
  </cols>
  <sheetData>
    <row r="1" spans="1:34">
      <c r="A1" s="244" t="s">
        <v>90</v>
      </c>
      <c r="B1" s="256" t="s">
        <v>0</v>
      </c>
      <c r="C1" s="251" t="s">
        <v>91</v>
      </c>
      <c r="D1" s="47" t="s">
        <v>92</v>
      </c>
      <c r="E1" s="63" t="s">
        <v>93</v>
      </c>
      <c r="F1" s="63" t="s">
        <v>94</v>
      </c>
      <c r="G1" s="64" t="s">
        <v>95</v>
      </c>
      <c r="H1" s="68" t="s">
        <v>96</v>
      </c>
      <c r="I1" s="68" t="s">
        <v>97</v>
      </c>
      <c r="J1" s="68" t="s">
        <v>98</v>
      </c>
      <c r="K1" s="68" t="s">
        <v>99</v>
      </c>
      <c r="L1" s="68" t="s">
        <v>100</v>
      </c>
      <c r="M1" s="47" t="s">
        <v>101</v>
      </c>
      <c r="N1" s="47" t="s">
        <v>102</v>
      </c>
      <c r="O1" s="47" t="s">
        <v>103</v>
      </c>
      <c r="P1" s="47" t="s">
        <v>104</v>
      </c>
      <c r="Q1" s="47" t="s">
        <v>105</v>
      </c>
      <c r="R1" s="47" t="s">
        <v>106</v>
      </c>
      <c r="S1" s="47" t="s">
        <v>107</v>
      </c>
      <c r="T1" s="47" t="s">
        <v>108</v>
      </c>
      <c r="U1" s="65" t="s">
        <v>109</v>
      </c>
      <c r="V1" s="47" t="s">
        <v>110</v>
      </c>
      <c r="Z1" s="66" t="s">
        <v>111</v>
      </c>
      <c r="AA1" s="66" t="s">
        <v>112</v>
      </c>
      <c r="AB1" s="66" t="s">
        <v>113</v>
      </c>
      <c r="AC1" s="66" t="s">
        <v>114</v>
      </c>
      <c r="AG1" s="67" t="s">
        <v>115</v>
      </c>
      <c r="AH1" s="67" t="s">
        <v>116</v>
      </c>
    </row>
    <row r="2" spans="1:34">
      <c r="A2" s="245" t="s">
        <v>117</v>
      </c>
      <c r="B2" s="257" t="s">
        <v>2</v>
      </c>
      <c r="C2" s="252" t="s">
        <v>118</v>
      </c>
      <c r="D2" s="48">
        <v>398426</v>
      </c>
      <c r="E2" s="48">
        <v>2023</v>
      </c>
      <c r="F2" s="48">
        <v>2025</v>
      </c>
      <c r="G2" s="50">
        <v>1600000000</v>
      </c>
      <c r="H2" s="71">
        <v>200000000</v>
      </c>
      <c r="I2" s="71" t="str">
        <f>IF(COUNTIF('N- Finances'!$A:$A,$B2)&gt;1,
   SUMIFS('N- Finances'!$C:$C,'N- Finances'!$A:$A,$B2),
   _xlfn.XLOOKUP($B2,'N- Finances'!$A:$A,'N- Finances'!$C:$C,"",0)
)</f>
        <v/>
      </c>
      <c r="J2" s="71"/>
      <c r="K2" s="71"/>
      <c r="L2" s="52" t="s">
        <v>119</v>
      </c>
      <c r="M2" s="53" t="s">
        <v>120</v>
      </c>
      <c r="N2" s="48" t="s">
        <v>121</v>
      </c>
      <c r="O2" s="48" t="s">
        <v>122</v>
      </c>
      <c r="P2" s="48"/>
      <c r="Q2" s="53" t="s">
        <v>123</v>
      </c>
      <c r="R2" s="53" t="s">
        <v>124</v>
      </c>
      <c r="S2" s="53" t="s">
        <v>107</v>
      </c>
      <c r="T2" s="48" t="s">
        <v>125</v>
      </c>
      <c r="U2" s="54">
        <f t="shared" ref="U2:U26" ca="1" si="0">MAX(0, MIN(1, (TODAY()-E2)/(F2-E2)))</f>
        <v>1</v>
      </c>
      <c r="V2" s="55"/>
      <c r="AB2" s="18">
        <v>46034</v>
      </c>
    </row>
    <row r="3" spans="1:34" ht="29.1">
      <c r="A3" s="246" t="s">
        <v>126</v>
      </c>
      <c r="B3" s="258" t="s">
        <v>4</v>
      </c>
      <c r="C3" s="252" t="s">
        <v>127</v>
      </c>
      <c r="D3" s="51">
        <v>134506</v>
      </c>
      <c r="E3" s="48">
        <v>2023</v>
      </c>
      <c r="F3" s="57">
        <v>45870</v>
      </c>
      <c r="G3" s="50"/>
      <c r="H3" s="71">
        <v>233006082</v>
      </c>
      <c r="I3" s="71">
        <v>233006082</v>
      </c>
      <c r="J3" s="71"/>
      <c r="K3" s="71"/>
      <c r="L3" s="52" t="s">
        <v>128</v>
      </c>
      <c r="M3" s="53" t="s">
        <v>129</v>
      </c>
      <c r="N3" s="48" t="s">
        <v>130</v>
      </c>
      <c r="O3" s="48" t="s">
        <v>122</v>
      </c>
      <c r="P3" s="48"/>
      <c r="Q3" s="48"/>
      <c r="R3" s="48"/>
      <c r="S3" s="48"/>
      <c r="T3" s="48" t="s">
        <v>131</v>
      </c>
      <c r="U3" s="54">
        <f t="shared" ca="1" si="0"/>
        <v>1</v>
      </c>
      <c r="V3" s="55"/>
      <c r="AB3" s="18">
        <v>46034</v>
      </c>
    </row>
    <row r="4" spans="1:34">
      <c r="A4" s="245"/>
      <c r="B4" s="259" t="s">
        <v>6</v>
      </c>
      <c r="C4" s="252" t="s">
        <v>132</v>
      </c>
      <c r="D4" s="51">
        <v>57242</v>
      </c>
      <c r="E4" s="48">
        <v>2024</v>
      </c>
      <c r="F4" s="57">
        <v>46204</v>
      </c>
      <c r="G4" s="50">
        <v>450000000</v>
      </c>
      <c r="H4" s="69">
        <v>0</v>
      </c>
      <c r="I4" s="71" t="str">
        <f>IF(COUNTIF('N- Finances'!$A:$A,$B4)&gt;1,
   SUMIFS('N- Finances'!$C:$C,'N- Finances'!$A:$A,$B4),
   _xlfn.XLOOKUP($B4,'N- Finances'!$A:$A,'N- Finances'!$C:$C,"",0)
)</f>
        <v/>
      </c>
      <c r="J4" s="71"/>
      <c r="K4" s="69"/>
      <c r="L4" s="52" t="s">
        <v>133</v>
      </c>
      <c r="M4" s="48"/>
      <c r="N4" s="48" t="s">
        <v>121</v>
      </c>
      <c r="O4" s="48" t="s">
        <v>122</v>
      </c>
      <c r="P4" s="48"/>
      <c r="Q4" s="48"/>
      <c r="R4" s="48"/>
      <c r="S4" s="48"/>
      <c r="T4" s="48"/>
      <c r="U4" s="54">
        <f t="shared" ca="1" si="0"/>
        <v>0.99701222272521506</v>
      </c>
      <c r="V4" s="55"/>
      <c r="AB4" s="18">
        <v>46034</v>
      </c>
    </row>
    <row r="5" spans="1:34" ht="29.1">
      <c r="A5" s="245" t="s">
        <v>134</v>
      </c>
      <c r="B5" s="260" t="s">
        <v>8</v>
      </c>
      <c r="C5" s="252"/>
      <c r="D5" s="51">
        <v>208460</v>
      </c>
      <c r="E5" s="48"/>
      <c r="F5" s="48"/>
      <c r="G5" s="50">
        <v>700000000</v>
      </c>
      <c r="H5" s="71">
        <v>250000000</v>
      </c>
      <c r="I5" s="71" t="str">
        <f>IF(COUNTIF('N- Finances'!$A:$A,$B5)&gt;1,
   SUMIFS('N- Finances'!$C:$C,'N- Finances'!$A:$A,$B5),
   _xlfn.XLOOKUP($B5,'N- Finances'!$A:$A,'N- Finances'!$C:$C,"",0)
)</f>
        <v/>
      </c>
      <c r="J5" s="71"/>
      <c r="K5" s="71"/>
      <c r="L5" s="69" t="s">
        <v>135</v>
      </c>
      <c r="M5" s="48"/>
      <c r="N5" s="48" t="s">
        <v>130</v>
      </c>
      <c r="O5" s="48" t="s">
        <v>136</v>
      </c>
      <c r="P5" s="48"/>
      <c r="Q5" s="48"/>
      <c r="R5" s="48"/>
      <c r="S5" s="48"/>
      <c r="T5" s="48" t="s">
        <v>137</v>
      </c>
      <c r="U5" s="54" t="e">
        <f t="shared" ca="1" si="0"/>
        <v>#DIV/0!</v>
      </c>
      <c r="V5" s="55"/>
      <c r="AB5" s="18">
        <v>46034</v>
      </c>
    </row>
    <row r="6" spans="1:34">
      <c r="A6" s="245"/>
      <c r="B6" s="260" t="s">
        <v>10</v>
      </c>
      <c r="C6" s="252" t="s">
        <v>127</v>
      </c>
      <c r="D6" s="51">
        <v>54235</v>
      </c>
      <c r="E6" s="48"/>
      <c r="F6" s="48">
        <v>2024</v>
      </c>
      <c r="G6" s="50">
        <v>90000000</v>
      </c>
      <c r="H6" s="71">
        <v>155200000</v>
      </c>
      <c r="I6" s="71">
        <f>IF(COUNTIF('N- Finances'!$A:$A,$B6)&gt;1,
   SUMIFS('N- Finances'!$C:$C,'N- Finances'!$A:$A,$B6),
   _xlfn.XLOOKUP($B6,'N- Finances'!$A:$A,'N- Finances'!$C:$C,"",0)
)</f>
        <v>100000000</v>
      </c>
      <c r="J6" s="71"/>
      <c r="K6" s="71"/>
      <c r="L6" s="69" t="s">
        <v>138</v>
      </c>
      <c r="M6" s="48"/>
      <c r="N6" s="48" t="s">
        <v>121</v>
      </c>
      <c r="O6" s="48" t="s">
        <v>136</v>
      </c>
      <c r="P6" s="48"/>
      <c r="Q6" s="48"/>
      <c r="R6" s="48"/>
      <c r="S6" s="48"/>
      <c r="T6" s="48"/>
      <c r="U6" s="54">
        <f t="shared" ca="1" si="0"/>
        <v>1</v>
      </c>
      <c r="V6" s="55"/>
      <c r="AB6" s="18">
        <v>46034</v>
      </c>
    </row>
    <row r="7" spans="1:34">
      <c r="A7" s="245" t="s">
        <v>139</v>
      </c>
      <c r="B7" s="260" t="s">
        <v>12</v>
      </c>
      <c r="C7" s="252" t="s">
        <v>127</v>
      </c>
      <c r="D7" s="51">
        <v>156496</v>
      </c>
      <c r="E7" s="48">
        <v>2024</v>
      </c>
      <c r="F7" s="57">
        <v>46296</v>
      </c>
      <c r="G7" s="50">
        <v>99000000</v>
      </c>
      <c r="H7" s="69">
        <v>142700000</v>
      </c>
      <c r="I7" s="71" t="str">
        <f>IF(COUNTIF('N- Finances'!$A:$A,$B7)&gt;1,
   SUMIFS('N- Finances'!$C:$C,'N- Finances'!$A:$A,$B7),
   _xlfn.XLOOKUP($B7,'N- Finances'!$A:$A,'N- Finances'!$C:$C,"",0)
)</f>
        <v/>
      </c>
      <c r="J7" s="71"/>
      <c r="K7" s="69"/>
      <c r="L7" s="69" t="s">
        <v>140</v>
      </c>
      <c r="M7" s="48" t="s">
        <v>141</v>
      </c>
      <c r="N7" s="48" t="s">
        <v>121</v>
      </c>
      <c r="O7" s="48" t="s">
        <v>122</v>
      </c>
      <c r="P7" s="48"/>
      <c r="Q7" s="53" t="s">
        <v>123</v>
      </c>
      <c r="R7" s="48"/>
      <c r="S7" s="48"/>
      <c r="T7" s="48"/>
      <c r="U7" s="54">
        <f t="shared" ca="1" si="0"/>
        <v>0.99494036863028545</v>
      </c>
      <c r="V7" s="55"/>
      <c r="Z7" s="10">
        <v>716100000</v>
      </c>
      <c r="AB7" s="18">
        <v>46034</v>
      </c>
    </row>
    <row r="8" spans="1:34">
      <c r="A8" s="247" t="s">
        <v>142</v>
      </c>
      <c r="B8" s="259" t="s">
        <v>14</v>
      </c>
      <c r="C8" s="252" t="s">
        <v>132</v>
      </c>
      <c r="D8" s="269">
        <v>386209</v>
      </c>
      <c r="E8" s="48">
        <v>2024</v>
      </c>
      <c r="F8" s="57">
        <v>46478</v>
      </c>
      <c r="G8" s="271">
        <v>1900000000</v>
      </c>
      <c r="H8" s="52">
        <v>997000000</v>
      </c>
      <c r="I8" s="71">
        <f>IF(COUNTIF('N- Finances'!$A:$A,$B8)&gt;1,
   SUMIFS('N- Finances'!$C:$C,'N- Finances'!$A:$A,$B8),
   _xlfn.XLOOKUP($B8,'N- Finances'!$A:$A,'N- Finances'!$C:$C,"",0)
)</f>
        <v>100000000</v>
      </c>
      <c r="J8" s="71"/>
      <c r="K8" s="52"/>
      <c r="L8" s="270" t="s">
        <v>143</v>
      </c>
      <c r="M8" s="48"/>
      <c r="N8" s="48" t="s">
        <v>144</v>
      </c>
      <c r="O8" s="48" t="s">
        <v>122</v>
      </c>
      <c r="P8" s="48"/>
      <c r="Q8" s="53" t="s">
        <v>145</v>
      </c>
      <c r="R8" s="53" t="s">
        <v>124</v>
      </c>
      <c r="S8" s="53" t="s">
        <v>107</v>
      </c>
      <c r="T8" s="48" t="s">
        <v>146</v>
      </c>
      <c r="U8" s="54">
        <f t="shared" ca="1" si="0"/>
        <v>0.99086696360282545</v>
      </c>
      <c r="V8" s="55"/>
      <c r="AB8" s="18">
        <v>46034</v>
      </c>
    </row>
    <row r="9" spans="1:34">
      <c r="A9" s="247" t="s">
        <v>147</v>
      </c>
      <c r="B9" s="259" t="s">
        <v>16</v>
      </c>
      <c r="C9" s="252" t="s">
        <v>132</v>
      </c>
      <c r="D9" s="269"/>
      <c r="E9" s="48">
        <v>2024</v>
      </c>
      <c r="F9" s="57">
        <v>46478</v>
      </c>
      <c r="G9" s="271"/>
      <c r="H9" s="52">
        <v>562600000</v>
      </c>
      <c r="I9" s="71">
        <f>IF(COUNTIF('N- Finances'!$A:$A,$B9)&gt;1,
   SUMIFS('N- Finances'!$C:$C,'N- Finances'!$A:$A,$B9),
   _xlfn.XLOOKUP($B9,'N- Finances'!$A:$A,'N- Finances'!$C:$C,"",0)
)</f>
        <v>487600000</v>
      </c>
      <c r="J9" s="71"/>
      <c r="K9" s="52"/>
      <c r="L9" s="270"/>
      <c r="M9" s="48"/>
      <c r="N9" s="48" t="s">
        <v>144</v>
      </c>
      <c r="O9" s="48" t="s">
        <v>122</v>
      </c>
      <c r="P9" s="48"/>
      <c r="Q9" s="48"/>
      <c r="R9" s="53" t="s">
        <v>124</v>
      </c>
      <c r="S9" s="53" t="s">
        <v>107</v>
      </c>
      <c r="T9" s="48" t="s">
        <v>146</v>
      </c>
      <c r="U9" s="54">
        <f t="shared" ca="1" si="0"/>
        <v>0.99086696360282545</v>
      </c>
      <c r="V9" s="55"/>
      <c r="AB9" s="18">
        <v>46034</v>
      </c>
    </row>
    <row r="10" spans="1:34" ht="43.5">
      <c r="A10" s="245"/>
      <c r="B10" s="258" t="s">
        <v>18</v>
      </c>
      <c r="C10" s="252" t="s">
        <v>132</v>
      </c>
      <c r="D10" s="51">
        <v>353282</v>
      </c>
      <c r="E10" s="48">
        <v>2024</v>
      </c>
      <c r="F10" s="57">
        <v>46357</v>
      </c>
      <c r="G10" s="50">
        <v>2180000000</v>
      </c>
      <c r="H10" s="69">
        <v>0</v>
      </c>
      <c r="I10" s="71" t="str">
        <f>IF(COUNTIF('N- Finances'!$A:$A,$B10)&gt;1,
   SUMIFS('N- Finances'!$C:$C,'N- Finances'!$A:$A,$B10),
   _xlfn.XLOOKUP($B10,'N- Finances'!$A:$A,'N- Finances'!$C:$C,"",0)
)</f>
        <v/>
      </c>
      <c r="J10" s="71"/>
      <c r="K10" s="69"/>
      <c r="L10" s="98" t="s">
        <v>148</v>
      </c>
      <c r="M10" s="48"/>
      <c r="N10" s="48" t="s">
        <v>144</v>
      </c>
      <c r="O10" s="48" t="s">
        <v>122</v>
      </c>
      <c r="P10" s="48"/>
      <c r="Q10" s="48"/>
      <c r="R10" s="53" t="s">
        <v>124</v>
      </c>
      <c r="S10" s="53" t="s">
        <v>107</v>
      </c>
      <c r="T10" s="48" t="s">
        <v>149</v>
      </c>
      <c r="U10" s="54">
        <f t="shared" ca="1" si="0"/>
        <v>0.9935713802359416</v>
      </c>
      <c r="V10" s="55"/>
      <c r="AB10" s="18">
        <v>46034</v>
      </c>
    </row>
    <row r="11" spans="1:34">
      <c r="A11" s="245"/>
      <c r="B11" s="257" t="s">
        <v>20</v>
      </c>
      <c r="C11" s="252" t="s">
        <v>150</v>
      </c>
      <c r="D11" s="51">
        <v>115970</v>
      </c>
      <c r="E11" s="48">
        <v>2024</v>
      </c>
      <c r="F11" s="57">
        <v>46357</v>
      </c>
      <c r="G11" s="50">
        <v>900000000</v>
      </c>
      <c r="H11" s="71">
        <v>1024500000</v>
      </c>
      <c r="I11" s="71">
        <f>IF(COUNTIF('N- Finances'!$A:$A,$B11)&gt;1,
   SUMIFS('N- Finances'!$C:$C,'N- Finances'!$A:$A,$B11),
   _xlfn.XLOOKUP($B11,'N- Finances'!$A:$A,'N- Finances'!$C:$C,"",0)
)</f>
        <v>150000000</v>
      </c>
      <c r="J11" s="71"/>
      <c r="K11" s="71"/>
      <c r="L11" s="52" t="s">
        <v>151</v>
      </c>
      <c r="M11" s="48"/>
      <c r="N11" s="48" t="s">
        <v>144</v>
      </c>
      <c r="O11" s="48" t="s">
        <v>122</v>
      </c>
      <c r="P11" s="48"/>
      <c r="Q11" s="48"/>
      <c r="R11" s="53" t="s">
        <v>124</v>
      </c>
      <c r="S11" s="53" t="s">
        <v>107</v>
      </c>
      <c r="T11" s="48" t="s">
        <v>149</v>
      </c>
      <c r="U11" s="54">
        <f t="shared" ca="1" si="0"/>
        <v>0.9935713802359416</v>
      </c>
      <c r="V11" s="55"/>
      <c r="AB11" s="18">
        <v>46034</v>
      </c>
    </row>
    <row r="12" spans="1:34">
      <c r="A12" s="245"/>
      <c r="B12" s="259" t="s">
        <v>22</v>
      </c>
      <c r="C12" s="252" t="s">
        <v>152</v>
      </c>
      <c r="D12" s="48">
        <v>0</v>
      </c>
      <c r="E12" s="48">
        <v>2024</v>
      </c>
      <c r="F12" s="57">
        <v>46357</v>
      </c>
      <c r="G12" s="60">
        <v>0</v>
      </c>
      <c r="H12" s="69">
        <v>599480000</v>
      </c>
      <c r="I12" s="71" t="str">
        <f>IF(COUNTIF('N- Finances'!$A:$A,$B12)&gt;1,
   SUMIFS('N- Finances'!$C:$C,'N- Finances'!$A:$A,$B12),
   _xlfn.XLOOKUP($B12,'N- Finances'!$A:$A,'N- Finances'!$C:$C,"",0)
)</f>
        <v/>
      </c>
      <c r="J12" s="71"/>
      <c r="K12" s="69"/>
      <c r="L12" s="52" t="s">
        <v>153</v>
      </c>
      <c r="M12" s="48"/>
      <c r="N12" s="48" t="s">
        <v>144</v>
      </c>
      <c r="O12" s="48" t="s">
        <v>122</v>
      </c>
      <c r="P12" s="48"/>
      <c r="Q12" s="48"/>
      <c r="R12" s="48"/>
      <c r="S12" s="48"/>
      <c r="T12" s="48" t="s">
        <v>154</v>
      </c>
      <c r="U12" s="54">
        <f t="shared" ca="1" si="0"/>
        <v>0.9935713802359416</v>
      </c>
      <c r="V12" s="55"/>
      <c r="AB12" s="18">
        <v>46034</v>
      </c>
    </row>
    <row r="13" spans="1:34">
      <c r="A13" s="245"/>
      <c r="B13" s="257" t="s">
        <v>24</v>
      </c>
      <c r="C13" s="252" t="s">
        <v>152</v>
      </c>
      <c r="D13" s="51">
        <v>455452</v>
      </c>
      <c r="E13" s="48"/>
      <c r="F13" s="48"/>
      <c r="G13" s="50">
        <v>1000000000</v>
      </c>
      <c r="H13" s="69">
        <v>0</v>
      </c>
      <c r="I13" s="71" t="str">
        <f>IF(COUNTIF('N- Finances'!$A:$A,$B13)&gt;1,
   SUMIFS('N- Finances'!$C:$C,'N- Finances'!$A:$A,$B13),
   _xlfn.XLOOKUP($B13,'N- Finances'!$A:$A,'N- Finances'!$C:$C,"",0)
)</f>
        <v/>
      </c>
      <c r="J13" s="71"/>
      <c r="K13" s="69"/>
      <c r="L13" s="52" t="s">
        <v>155</v>
      </c>
      <c r="M13" s="48"/>
      <c r="N13" s="48" t="s">
        <v>144</v>
      </c>
      <c r="O13" s="48" t="s">
        <v>122</v>
      </c>
      <c r="P13" s="48"/>
      <c r="Q13" s="48"/>
      <c r="R13" s="48"/>
      <c r="S13" s="48"/>
      <c r="T13" s="48"/>
      <c r="U13" s="54" t="e">
        <f t="shared" ca="1" si="0"/>
        <v>#DIV/0!</v>
      </c>
      <c r="V13" s="55"/>
      <c r="AB13" s="18">
        <v>46034</v>
      </c>
    </row>
    <row r="14" spans="1:34">
      <c r="A14" s="245"/>
      <c r="B14" s="259" t="s">
        <v>26</v>
      </c>
      <c r="C14" s="252" t="s">
        <v>127</v>
      </c>
      <c r="D14" s="51">
        <v>160500</v>
      </c>
      <c r="E14" s="48">
        <v>2026</v>
      </c>
      <c r="F14" s="57">
        <v>46722</v>
      </c>
      <c r="G14" s="50">
        <v>1410000000</v>
      </c>
      <c r="H14" s="69">
        <v>0</v>
      </c>
      <c r="I14" s="71" t="str">
        <f>IF(COUNTIF('N- Finances'!$A:$A,$B14)&gt;1,
   SUMIFS('N- Finances'!$C:$C,'N- Finances'!$A:$A,$B14),
   _xlfn.XLOOKUP($B14,'N- Finances'!$A:$A,'N- Finances'!$C:$C,"",0)
)</f>
        <v/>
      </c>
      <c r="J14" s="71"/>
      <c r="K14" s="69"/>
      <c r="L14" s="52" t="s">
        <v>156</v>
      </c>
      <c r="M14" s="48"/>
      <c r="N14" s="48" t="s">
        <v>157</v>
      </c>
      <c r="O14" s="48" t="s">
        <v>122</v>
      </c>
      <c r="P14" s="48"/>
      <c r="Q14" s="53" t="s">
        <v>158</v>
      </c>
      <c r="R14" s="48"/>
      <c r="S14" s="48"/>
      <c r="T14" s="48"/>
      <c r="U14" s="54">
        <f t="shared" ca="1" si="0"/>
        <v>0.98545731161625205</v>
      </c>
      <c r="V14" s="55"/>
      <c r="AB14" s="18">
        <v>46034</v>
      </c>
    </row>
    <row r="15" spans="1:34">
      <c r="A15" s="247" t="s">
        <v>159</v>
      </c>
      <c r="B15" s="259" t="s">
        <v>28</v>
      </c>
      <c r="C15" s="252" t="s">
        <v>152</v>
      </c>
      <c r="D15" s="51">
        <v>155454</v>
      </c>
      <c r="E15" s="48">
        <v>2026</v>
      </c>
      <c r="F15" s="48">
        <v>2028</v>
      </c>
      <c r="G15" s="50">
        <v>110000000</v>
      </c>
      <c r="H15" s="71">
        <v>164500000</v>
      </c>
      <c r="I15" s="71">
        <f>IF(COUNTIF('N- Finances'!$A:$A,$B15)&gt;1,
   SUMIFS('N- Finances'!$C:$C,'N- Finances'!$A:$A,$B15),
   _xlfn.XLOOKUP($B15,'N- Finances'!$A:$A,'N- Finances'!$C:$C,"",0)
)</f>
        <v>100000000</v>
      </c>
      <c r="J15" s="71"/>
      <c r="K15" s="71"/>
      <c r="L15" s="52" t="s">
        <v>160</v>
      </c>
      <c r="M15" s="48"/>
      <c r="N15" s="48" t="s">
        <v>157</v>
      </c>
      <c r="O15" s="48" t="s">
        <v>122</v>
      </c>
      <c r="P15" s="48"/>
      <c r="Q15" s="53" t="s">
        <v>123</v>
      </c>
      <c r="R15" s="53" t="s">
        <v>124</v>
      </c>
      <c r="S15" s="53" t="s">
        <v>107</v>
      </c>
      <c r="T15" s="48" t="s">
        <v>161</v>
      </c>
      <c r="U15" s="54">
        <f t="shared" ca="1" si="0"/>
        <v>1</v>
      </c>
      <c r="V15" s="61"/>
      <c r="AB15" s="18">
        <v>46034</v>
      </c>
    </row>
    <row r="16" spans="1:34">
      <c r="A16" s="245"/>
      <c r="B16" s="258" t="s">
        <v>30</v>
      </c>
      <c r="C16" s="252" t="s">
        <v>132</v>
      </c>
      <c r="D16" s="269">
        <v>299024</v>
      </c>
      <c r="E16" s="48">
        <v>2026</v>
      </c>
      <c r="F16" s="57">
        <v>46722</v>
      </c>
      <c r="G16" s="271">
        <v>2580000000</v>
      </c>
      <c r="H16" s="272">
        <v>970000000</v>
      </c>
      <c r="I16" s="71" t="str">
        <f>IF(COUNTIF('N- Finances'!$A:$A,$B16)&gt;1,
   SUMIFS('N- Finances'!$C:$C,'N- Finances'!$A:$A,$B16),
   _xlfn.XLOOKUP($B16,'N- Finances'!$A:$A,'N- Finances'!$C:$C,"",0)
)</f>
        <v/>
      </c>
      <c r="J16" s="71"/>
      <c r="K16" s="72"/>
      <c r="L16" s="273" t="s">
        <v>162</v>
      </c>
      <c r="M16" s="48"/>
      <c r="N16" s="48" t="s">
        <v>157</v>
      </c>
      <c r="O16" s="48" t="s">
        <v>122</v>
      </c>
      <c r="P16" s="48"/>
      <c r="Q16" s="48"/>
      <c r="R16" s="53" t="s">
        <v>124</v>
      </c>
      <c r="S16" s="53" t="s">
        <v>107</v>
      </c>
      <c r="T16" s="48" t="s">
        <v>163</v>
      </c>
      <c r="U16" s="54">
        <f t="shared" ca="1" si="0"/>
        <v>0.98545731161625205</v>
      </c>
      <c r="V16" s="55"/>
      <c r="AB16" s="18">
        <v>46034</v>
      </c>
    </row>
    <row r="17" spans="1:33">
      <c r="A17" s="245"/>
      <c r="B17" s="259" t="s">
        <v>32</v>
      </c>
      <c r="C17" s="252" t="s">
        <v>132</v>
      </c>
      <c r="D17" s="269"/>
      <c r="E17" s="48">
        <v>2026</v>
      </c>
      <c r="F17" s="57">
        <v>46722</v>
      </c>
      <c r="G17" s="271"/>
      <c r="H17" s="272"/>
      <c r="I17" s="71" t="str">
        <f>IF(COUNTIF('N- Finances'!$A:$A,$B17)&gt;1,
   SUMIFS('N- Finances'!$C:$C,'N- Finances'!$A:$A,$B17),
   _xlfn.XLOOKUP($B17,'N- Finances'!$A:$A,'N- Finances'!$C:$C,"",0)
)</f>
        <v/>
      </c>
      <c r="J17" s="71"/>
      <c r="K17" s="72"/>
      <c r="L17" s="273"/>
      <c r="M17" s="48"/>
      <c r="N17" s="48" t="s">
        <v>157</v>
      </c>
      <c r="O17" s="48" t="s">
        <v>122</v>
      </c>
      <c r="P17" s="48"/>
      <c r="Q17" s="48"/>
      <c r="R17" s="48"/>
      <c r="S17" s="48"/>
      <c r="T17" s="48" t="s">
        <v>146</v>
      </c>
      <c r="U17" s="54">
        <f t="shared" ca="1" si="0"/>
        <v>0.98545731161625205</v>
      </c>
      <c r="V17" s="55"/>
      <c r="AB17" s="18">
        <v>46034</v>
      </c>
    </row>
    <row r="18" spans="1:33">
      <c r="A18" s="245"/>
      <c r="B18" s="260" t="s">
        <v>34</v>
      </c>
      <c r="C18" s="252" t="s">
        <v>152</v>
      </c>
      <c r="D18" s="51">
        <v>502675</v>
      </c>
      <c r="E18" s="48"/>
      <c r="F18" s="48"/>
      <c r="G18" s="50">
        <v>226000000</v>
      </c>
      <c r="H18" s="69">
        <v>0</v>
      </c>
      <c r="I18" s="71" t="str">
        <f>IF(COUNTIF('N- Finances'!$A:$A,$B18)&gt;1,
   SUMIFS('N- Finances'!$C:$C,'N- Finances'!$A:$A,$B18),
   _xlfn.XLOOKUP($B18,'N- Finances'!$A:$A,'N- Finances'!$C:$C,"",0)
)</f>
        <v/>
      </c>
      <c r="J18" s="71"/>
      <c r="K18" s="69"/>
      <c r="L18" s="69" t="s">
        <v>156</v>
      </c>
      <c r="M18" s="48"/>
      <c r="N18" s="48" t="s">
        <v>157</v>
      </c>
      <c r="O18" s="48" t="s">
        <v>122</v>
      </c>
      <c r="P18" s="48"/>
      <c r="Q18" s="48"/>
      <c r="R18" s="48"/>
      <c r="S18" s="48"/>
      <c r="T18" s="48"/>
      <c r="U18" s="54" t="e">
        <f t="shared" ca="1" si="0"/>
        <v>#DIV/0!</v>
      </c>
      <c r="V18" s="55"/>
      <c r="AB18" s="18">
        <v>46034</v>
      </c>
    </row>
    <row r="19" spans="1:33">
      <c r="A19" s="245" t="s">
        <v>164</v>
      </c>
      <c r="B19" s="259" t="s">
        <v>36</v>
      </c>
      <c r="C19" s="252" t="s">
        <v>118</v>
      </c>
      <c r="D19" s="48">
        <v>322917</v>
      </c>
      <c r="E19" s="57">
        <v>46174</v>
      </c>
      <c r="F19" s="57">
        <v>46813</v>
      </c>
      <c r="G19" s="60">
        <v>1650000000</v>
      </c>
      <c r="H19" s="69">
        <v>643293750</v>
      </c>
      <c r="I19" s="71">
        <f>IF(COUNTIF('N- Finances'!$A:$A,$B19)&gt;1,
   SUMIFS('N- Finances'!$C:$C,'N- Finances'!$A:$A,$B19),
   _xlfn.XLOOKUP($B19,'N- Finances'!$A:$A,'N- Finances'!$C:$C,"",0)
)</f>
        <v>643293750</v>
      </c>
      <c r="J19" s="71"/>
      <c r="K19" s="69"/>
      <c r="L19" s="52" t="s">
        <v>165</v>
      </c>
      <c r="M19" s="48" t="s">
        <v>129</v>
      </c>
      <c r="N19" s="48" t="s">
        <v>157</v>
      </c>
      <c r="O19" s="48" t="s">
        <v>122</v>
      </c>
      <c r="P19" s="48"/>
      <c r="Q19" s="53" t="s">
        <v>123</v>
      </c>
      <c r="R19" s="53" t="s">
        <v>124</v>
      </c>
      <c r="S19" s="53" t="s">
        <v>107</v>
      </c>
      <c r="T19" s="48" t="s">
        <v>166</v>
      </c>
      <c r="U19" s="54">
        <f t="shared" ca="1" si="0"/>
        <v>0</v>
      </c>
      <c r="V19" s="55"/>
      <c r="AB19" s="18">
        <v>46034</v>
      </c>
    </row>
    <row r="20" spans="1:33">
      <c r="A20" s="245" t="s">
        <v>167</v>
      </c>
      <c r="B20" s="259" t="s">
        <v>38</v>
      </c>
      <c r="C20" s="252" t="s">
        <v>118</v>
      </c>
      <c r="D20" s="48">
        <v>423022</v>
      </c>
      <c r="E20" s="57">
        <v>46174</v>
      </c>
      <c r="F20" s="57">
        <v>46813</v>
      </c>
      <c r="G20" s="60">
        <v>1800000000</v>
      </c>
      <c r="H20" s="69">
        <v>1050000000</v>
      </c>
      <c r="I20" s="71" t="str">
        <f>IF(COUNTIF('N- Finances'!$A:$A,$B20)&gt;1,
   SUMIFS('N- Finances'!$C:$C,'N- Finances'!$A:$A,$B20),
   _xlfn.XLOOKUP($B20,'N- Finances'!$A:$A,'N- Finances'!$C:$C,"",0)
)</f>
        <v/>
      </c>
      <c r="J20" s="71"/>
      <c r="K20" s="69"/>
      <c r="L20" s="52" t="s">
        <v>168</v>
      </c>
      <c r="M20" s="53" t="s">
        <v>169</v>
      </c>
      <c r="N20" s="48" t="s">
        <v>170</v>
      </c>
      <c r="O20" s="48" t="s">
        <v>122</v>
      </c>
      <c r="P20" s="48"/>
      <c r="Q20" s="53" t="s">
        <v>123</v>
      </c>
      <c r="R20" s="53" t="s">
        <v>124</v>
      </c>
      <c r="S20" s="53" t="s">
        <v>107</v>
      </c>
      <c r="T20" s="48" t="s">
        <v>171</v>
      </c>
      <c r="U20" s="54">
        <f t="shared" ca="1" si="0"/>
        <v>0</v>
      </c>
      <c r="V20" s="55"/>
      <c r="AA20" s="10" t="s">
        <v>172</v>
      </c>
      <c r="AB20" s="18">
        <v>46034</v>
      </c>
      <c r="AC20" s="10" t="s">
        <v>173</v>
      </c>
      <c r="AG20" s="10" t="s">
        <v>174</v>
      </c>
    </row>
    <row r="21" spans="1:33">
      <c r="A21" s="245"/>
      <c r="B21" s="257" t="s">
        <v>40</v>
      </c>
      <c r="C21" s="252" t="s">
        <v>118</v>
      </c>
      <c r="D21" s="48">
        <v>51451</v>
      </c>
      <c r="E21" s="101">
        <v>45182</v>
      </c>
      <c r="F21" s="101">
        <v>46277</v>
      </c>
      <c r="G21" s="60">
        <v>3000000000</v>
      </c>
      <c r="H21" s="69">
        <v>0</v>
      </c>
      <c r="I21" s="71" t="str">
        <f>IF(COUNTIF('N- Finances'!$A:$A,$B21)&gt;1,
   SUMIFS('N- Finances'!$C:$C,'N- Finances'!$A:$A,$B21),
   _xlfn.XLOOKUP($B21,'N- Finances'!$A:$A,'N- Finances'!$C:$C,"",0)
)</f>
        <v/>
      </c>
      <c r="J21" s="71"/>
      <c r="K21" s="69"/>
      <c r="L21" s="52" t="s">
        <v>156</v>
      </c>
      <c r="M21" s="48"/>
      <c r="N21" s="48" t="s">
        <v>170</v>
      </c>
      <c r="O21" s="48" t="s">
        <v>122</v>
      </c>
      <c r="P21" s="48"/>
      <c r="Q21" s="48"/>
      <c r="R21" s="48"/>
      <c r="S21" s="48"/>
      <c r="T21" s="48"/>
      <c r="U21" s="54">
        <f t="shared" ca="1" si="0"/>
        <v>0.81278538812785384</v>
      </c>
      <c r="V21" s="55"/>
      <c r="AB21" s="18">
        <v>46034</v>
      </c>
    </row>
    <row r="22" spans="1:33">
      <c r="A22" s="245"/>
      <c r="B22" s="257" t="s">
        <v>42</v>
      </c>
      <c r="C22" s="252" t="s">
        <v>132</v>
      </c>
      <c r="D22" s="51">
        <v>129898</v>
      </c>
      <c r="E22" s="48"/>
      <c r="F22" s="48"/>
      <c r="G22" s="50">
        <v>120000000</v>
      </c>
      <c r="H22" s="69">
        <v>0</v>
      </c>
      <c r="I22" s="71" t="str">
        <f>IF(COUNTIF('N- Finances'!$A:$A,$B22)&gt;1,
   SUMIFS('N- Finances'!$C:$C,'N- Finances'!$A:$A,$B22),
   _xlfn.XLOOKUP($B22,'N- Finances'!$A:$A,'N- Finances'!$C:$C,"",0)
)</f>
        <v/>
      </c>
      <c r="J22" s="71"/>
      <c r="K22" s="69"/>
      <c r="L22" s="52" t="s">
        <v>156</v>
      </c>
      <c r="M22" s="48"/>
      <c r="N22" s="48" t="s">
        <v>170</v>
      </c>
      <c r="O22" s="48" t="s">
        <v>122</v>
      </c>
      <c r="P22" s="48"/>
      <c r="Q22" s="48"/>
      <c r="R22" s="48"/>
      <c r="S22" s="48"/>
      <c r="T22" s="48"/>
      <c r="U22" s="54" t="e">
        <f ca="1">MAX(0, MIN(1, (TODAY()-E22)/(F22-E22)))</f>
        <v>#DIV/0!</v>
      </c>
      <c r="V22" s="55"/>
      <c r="AB22" s="18">
        <v>46034</v>
      </c>
    </row>
    <row r="23" spans="1:33">
      <c r="A23" s="245"/>
      <c r="B23" s="260" t="s">
        <v>44</v>
      </c>
      <c r="C23" s="252" t="s">
        <v>132</v>
      </c>
      <c r="D23" s="51">
        <v>112742</v>
      </c>
      <c r="E23" s="48">
        <v>2026</v>
      </c>
      <c r="F23" s="57">
        <v>46600</v>
      </c>
      <c r="G23" s="50">
        <v>170000000</v>
      </c>
      <c r="H23" s="69">
        <v>0</v>
      </c>
      <c r="I23" s="71" t="str">
        <f>IF(COUNTIF('N- Finances'!$A:$A,$B23)&gt;1,
   SUMIFS('N- Finances'!$C:$C,'N- Finances'!$A:$A,$B23),
   _xlfn.XLOOKUP($B23,'N- Finances'!$A:$A,'N- Finances'!$C:$C,"",0)
)</f>
        <v/>
      </c>
      <c r="J23" s="71"/>
      <c r="K23" s="69"/>
      <c r="L23" s="52" t="s">
        <v>156</v>
      </c>
      <c r="M23" s="48"/>
      <c r="N23" s="48" t="s">
        <v>170</v>
      </c>
      <c r="O23" s="48" t="s">
        <v>122</v>
      </c>
      <c r="P23" s="48"/>
      <c r="Q23" s="48"/>
      <c r="R23" s="48"/>
      <c r="S23" s="48"/>
      <c r="T23" s="48"/>
      <c r="U23" s="54">
        <f t="shared" ca="1" si="0"/>
        <v>0.98815452954637228</v>
      </c>
      <c r="V23" s="55"/>
      <c r="AB23" s="18">
        <v>46034</v>
      </c>
    </row>
    <row r="24" spans="1:33">
      <c r="A24" s="245"/>
      <c r="B24" s="260" t="s">
        <v>46</v>
      </c>
      <c r="C24" s="252" t="s">
        <v>152</v>
      </c>
      <c r="D24" s="51">
        <v>38750</v>
      </c>
      <c r="E24" s="48"/>
      <c r="F24" s="48"/>
      <c r="G24" s="50">
        <v>127000000</v>
      </c>
      <c r="H24" s="69">
        <v>0</v>
      </c>
      <c r="I24" s="71" t="str">
        <f>IF(COUNTIF('N- Finances'!$A:$A,$B24)&gt;1,
   SUMIFS('N- Finances'!$C:$C,'N- Finances'!$A:$A,$B24),
   _xlfn.XLOOKUP($B24,'N- Finances'!$A:$A,'N- Finances'!$C:$C,"",0)
)</f>
        <v/>
      </c>
      <c r="J24" s="71"/>
      <c r="K24" s="69"/>
      <c r="L24" s="52" t="s">
        <v>156</v>
      </c>
      <c r="M24" s="48"/>
      <c r="N24" s="48" t="s">
        <v>170</v>
      </c>
      <c r="O24" s="48" t="s">
        <v>122</v>
      </c>
      <c r="P24" s="48"/>
      <c r="Q24" s="48"/>
      <c r="R24" s="48"/>
      <c r="S24" s="48"/>
      <c r="T24" s="48"/>
      <c r="U24" s="54" t="e">
        <f t="shared" ca="1" si="0"/>
        <v>#DIV/0!</v>
      </c>
      <c r="V24" s="55"/>
      <c r="AB24" s="18">
        <v>46034</v>
      </c>
    </row>
    <row r="25" spans="1:33" ht="14.1" customHeight="1">
      <c r="A25" s="245"/>
      <c r="B25" s="260" t="s">
        <v>48</v>
      </c>
      <c r="C25" s="252" t="s">
        <v>152</v>
      </c>
      <c r="D25" s="51">
        <v>215200</v>
      </c>
      <c r="E25" s="48"/>
      <c r="F25" s="48"/>
      <c r="G25" s="50">
        <v>140000000</v>
      </c>
      <c r="H25" s="69">
        <v>0</v>
      </c>
      <c r="I25" s="71" t="str">
        <f>IF(COUNTIF('N- Finances'!$A:$A,$B25)&gt;1,
   SUMIFS('N- Finances'!$C:$C,'N- Finances'!$A:$A,$B25),
   _xlfn.XLOOKUP($B25,'N- Finances'!$A:$A,'N- Finances'!$C:$C,"",0)
)</f>
        <v/>
      </c>
      <c r="J25" s="71"/>
      <c r="K25" s="69"/>
      <c r="L25" s="52" t="s">
        <v>156</v>
      </c>
      <c r="M25" s="48"/>
      <c r="N25" s="48" t="s">
        <v>170</v>
      </c>
      <c r="O25" s="48" t="s">
        <v>122</v>
      </c>
      <c r="P25" s="48"/>
      <c r="Q25" s="48"/>
      <c r="R25" s="48"/>
      <c r="S25" s="48"/>
      <c r="T25" s="48"/>
      <c r="U25" s="54" t="e">
        <f t="shared" ca="1" si="0"/>
        <v>#DIV/0!</v>
      </c>
      <c r="V25" s="55"/>
      <c r="AB25" s="18">
        <v>46034</v>
      </c>
    </row>
    <row r="26" spans="1:33" ht="15.6" customHeight="1">
      <c r="A26" s="245"/>
      <c r="B26" s="260" t="s">
        <v>50</v>
      </c>
      <c r="C26" s="252" t="s">
        <v>132</v>
      </c>
      <c r="D26" s="51">
        <v>32280</v>
      </c>
      <c r="E26" s="48">
        <v>2026</v>
      </c>
      <c r="F26" s="48">
        <v>2027</v>
      </c>
      <c r="G26" s="50">
        <v>97000000</v>
      </c>
      <c r="H26" s="69">
        <v>0</v>
      </c>
      <c r="I26" s="71" t="str">
        <f>IF(COUNTIF('N- Finances'!$A:$A,$B26)&gt;1,
   SUMIFS('N- Finances'!$C:$C,'N- Finances'!$A:$A,$B26),
   _xlfn.XLOOKUP($B26,'N- Finances'!$A:$A,'N- Finances'!$C:$C,"",0)
)</f>
        <v/>
      </c>
      <c r="J26" s="71"/>
      <c r="K26" s="69"/>
      <c r="L26" s="52" t="s">
        <v>156</v>
      </c>
      <c r="M26" s="48"/>
      <c r="N26" s="48" t="s">
        <v>170</v>
      </c>
      <c r="O26" s="48" t="s">
        <v>122</v>
      </c>
      <c r="P26" s="48"/>
      <c r="Q26" s="48"/>
      <c r="R26" s="48"/>
      <c r="S26" s="48"/>
      <c r="T26" s="48"/>
      <c r="U26" s="54">
        <f t="shared" ca="1" si="0"/>
        <v>1</v>
      </c>
      <c r="V26" s="55"/>
      <c r="AB26" s="18">
        <v>46034</v>
      </c>
    </row>
    <row r="27" spans="1:33">
      <c r="A27" s="245"/>
      <c r="B27" s="258" t="s">
        <v>52</v>
      </c>
      <c r="C27" s="252" t="s">
        <v>118</v>
      </c>
      <c r="D27" s="51">
        <v>360791.51899999997</v>
      </c>
      <c r="E27" s="48">
        <v>2023</v>
      </c>
      <c r="F27" s="57">
        <v>45992</v>
      </c>
      <c r="G27" s="60">
        <v>1000000000</v>
      </c>
      <c r="H27" s="69">
        <v>0</v>
      </c>
      <c r="I27" s="71" t="str">
        <f>IF(COUNTIF('N- Finances'!$A:$A,$B27)&gt;1,
   SUMIFS('N- Finances'!$C:$C,'N- Finances'!$A:$A,$B27),
   _xlfn.XLOOKUP($B27,'N- Finances'!$A:$A,'N- Finances'!$C:$C,"",0)
)</f>
        <v/>
      </c>
      <c r="J27" s="71"/>
      <c r="K27" s="69"/>
      <c r="L27" s="52" t="s">
        <v>156</v>
      </c>
      <c r="M27" s="48"/>
      <c r="N27" s="48" t="s">
        <v>175</v>
      </c>
      <c r="O27" s="48" t="s">
        <v>122</v>
      </c>
      <c r="P27" s="48"/>
      <c r="Q27" s="48"/>
      <c r="R27" s="48"/>
      <c r="S27" s="48"/>
      <c r="T27" s="48"/>
      <c r="U27" s="62"/>
      <c r="V27" s="55"/>
    </row>
    <row r="28" spans="1:33">
      <c r="A28" s="245"/>
      <c r="B28" s="258" t="s">
        <v>54</v>
      </c>
      <c r="C28" s="252" t="s">
        <v>118</v>
      </c>
      <c r="D28" s="51">
        <v>51432.800000000003</v>
      </c>
      <c r="E28" s="57">
        <v>46357</v>
      </c>
      <c r="F28" s="48">
        <v>2028</v>
      </c>
      <c r="G28" s="60">
        <v>1600000000</v>
      </c>
      <c r="H28" s="69">
        <v>0</v>
      </c>
      <c r="I28" s="71" t="str">
        <f>IF(COUNTIF('N- Finances'!$A:$A,$B28)&gt;1,
   SUMIFS('N- Finances'!$C:$C,'N- Finances'!$A:$A,$B28),
   _xlfn.XLOOKUP($B28,'N- Finances'!$A:$A,'N- Finances'!$C:$C,"",0)
)</f>
        <v/>
      </c>
      <c r="J28" s="71"/>
      <c r="K28" s="69"/>
      <c r="L28" s="52" t="s">
        <v>156</v>
      </c>
      <c r="M28" s="48"/>
      <c r="N28" s="48" t="s">
        <v>170</v>
      </c>
      <c r="O28" s="48" t="s">
        <v>122</v>
      </c>
      <c r="P28" s="48"/>
      <c r="Q28" s="48"/>
      <c r="R28" s="48"/>
      <c r="S28" s="48"/>
      <c r="T28" s="48"/>
      <c r="U28" s="62"/>
      <c r="V28" s="55"/>
    </row>
    <row r="29" spans="1:33">
      <c r="A29" s="245"/>
      <c r="B29" s="258" t="s">
        <v>56</v>
      </c>
      <c r="C29" s="252" t="s">
        <v>176</v>
      </c>
      <c r="D29" s="48"/>
      <c r="E29" s="57">
        <v>45931</v>
      </c>
      <c r="F29" s="57">
        <v>46023</v>
      </c>
      <c r="G29" s="60">
        <v>72750000</v>
      </c>
      <c r="H29" s="69">
        <v>72750000</v>
      </c>
      <c r="I29" s="71" t="str">
        <f>IF(COUNTIF('N- Finances'!$A:$A,$B29)&gt;1,
   SUMIFS('N- Finances'!$C:$C,'N- Finances'!$A:$A,$B29),
   _xlfn.XLOOKUP($B29,'N- Finances'!$A:$A,'N- Finances'!$C:$C,"",0)
)</f>
        <v/>
      </c>
      <c r="J29" s="71"/>
      <c r="K29" s="69"/>
      <c r="L29" s="52" t="s">
        <v>156</v>
      </c>
      <c r="M29" s="48"/>
      <c r="N29" s="48" t="s">
        <v>144</v>
      </c>
      <c r="O29" s="48" t="s">
        <v>122</v>
      </c>
      <c r="P29" s="48"/>
      <c r="Q29" s="53" t="s">
        <v>123</v>
      </c>
      <c r="R29" s="48"/>
      <c r="S29" s="48"/>
      <c r="T29" s="48"/>
      <c r="U29" s="54">
        <f ca="1">MAX(0, MIN(1, (TODAY()-E29)/(F29-E29)))</f>
        <v>1</v>
      </c>
      <c r="V29" s="55"/>
    </row>
    <row r="30" spans="1:33" s="97" customFormat="1" ht="35.1" customHeight="1">
      <c r="A30" s="248"/>
      <c r="B30" s="261" t="s">
        <v>58</v>
      </c>
      <c r="C30" s="253"/>
      <c r="D30" s="94"/>
      <c r="E30" s="94"/>
      <c r="F30" s="94"/>
      <c r="G30" s="95"/>
      <c r="H30" s="96"/>
      <c r="I30" s="71">
        <f>IF(COUNTIF('N- Finances'!$A:$A,$B30)&gt;1,
   SUMIFS('N- Finances'!$C:$C,'N- Finances'!$A:$A,$B30),
   _xlfn.XLOOKUP($B30,'N- Finances'!$A:$A,'N- Finances'!$C:$C,"",0)
)</f>
        <v>66000000</v>
      </c>
      <c r="J30" s="173">
        <v>66000000</v>
      </c>
      <c r="K30" s="96"/>
      <c r="L30" s="96"/>
      <c r="M30" s="94"/>
      <c r="N30" s="94"/>
      <c r="O30" s="94"/>
      <c r="P30" s="94"/>
      <c r="Q30" s="94"/>
      <c r="R30" s="94"/>
      <c r="S30" s="94"/>
      <c r="T30" s="94"/>
      <c r="U30" s="94"/>
      <c r="V30" s="94"/>
    </row>
    <row r="31" spans="1:33" s="93" customFormat="1">
      <c r="A31" s="249"/>
      <c r="B31" s="262" t="s">
        <v>60</v>
      </c>
      <c r="C31" s="254"/>
      <c r="D31" s="89"/>
      <c r="E31" s="89"/>
      <c r="F31" s="89"/>
      <c r="G31" s="90"/>
      <c r="H31" s="91"/>
      <c r="I31" s="71">
        <f>IF(COUNTIF('N- Finances'!$A:$A,$B31)&gt;1,
   SUMIFS('N- Finances'!$C:$C,'N- Finances'!$A:$A,$B31),
   _xlfn.XLOOKUP($B31,'N- Finances'!$A:$A,'N- Finances'!$C:$C,"",0)
)</f>
        <v>14000000</v>
      </c>
      <c r="J31" s="162">
        <v>14000000</v>
      </c>
      <c r="K31" s="91"/>
      <c r="L31" s="91"/>
      <c r="M31" s="89"/>
      <c r="N31" s="89"/>
      <c r="O31" s="89"/>
      <c r="P31" s="89"/>
      <c r="Q31" s="89"/>
      <c r="R31" s="89"/>
      <c r="S31" s="89"/>
      <c r="T31" s="89"/>
      <c r="U31" s="89"/>
      <c r="V31" s="92"/>
    </row>
    <row r="32" spans="1:33" s="93" customFormat="1">
      <c r="A32" s="249"/>
      <c r="B32" s="262" t="s">
        <v>62</v>
      </c>
      <c r="C32" s="254"/>
      <c r="D32" s="89"/>
      <c r="E32" s="89"/>
      <c r="F32" s="89"/>
      <c r="G32" s="90"/>
      <c r="H32" s="91"/>
      <c r="I32" s="71">
        <f>IF(COUNTIF('N- Finances'!$A:$A,$B32)&gt;1,
   SUMIFS('N- Finances'!$C:$C,'N- Finances'!$A:$A,$B32),
   _xlfn.XLOOKUP($B32,'N- Finances'!$A:$A,'N- Finances'!$C:$C,"",0)
)</f>
        <v>37500000</v>
      </c>
      <c r="J32" s="211">
        <v>37500000</v>
      </c>
      <c r="K32" s="91"/>
      <c r="L32" s="91"/>
      <c r="M32" s="89"/>
      <c r="N32" s="89"/>
      <c r="O32" s="89"/>
      <c r="P32" s="89"/>
      <c r="Q32" s="89"/>
      <c r="R32" s="89"/>
      <c r="S32" s="89"/>
      <c r="T32" s="89"/>
      <c r="U32" s="89"/>
      <c r="V32" s="92"/>
    </row>
    <row r="33" spans="1:22" s="97" customFormat="1" ht="27" customHeight="1">
      <c r="A33" s="248"/>
      <c r="B33" s="261" t="s">
        <v>64</v>
      </c>
      <c r="C33" s="253"/>
      <c r="D33" s="94"/>
      <c r="E33" s="94"/>
      <c r="F33" s="94"/>
      <c r="G33" s="95"/>
      <c r="H33" s="96"/>
      <c r="I33" s="71">
        <f>IF(COUNTIF('N- Finances'!$A:$A,$B33)&gt;1,
   SUMIFS('N- Finances'!$C:$C,'N- Finances'!$A:$A,$B33),
   _xlfn.XLOOKUP($B33,'N- Finances'!$A:$A,'N- Finances'!$C:$C,"",0)
)</f>
        <v>9000000</v>
      </c>
      <c r="J33" s="162">
        <v>9000000</v>
      </c>
      <c r="K33" s="96"/>
      <c r="L33" s="96"/>
      <c r="M33" s="94"/>
      <c r="N33" s="94"/>
      <c r="O33" s="94"/>
      <c r="P33" s="94"/>
      <c r="Q33" s="94"/>
      <c r="R33" s="94"/>
      <c r="S33" s="94"/>
      <c r="T33" s="94"/>
      <c r="U33" s="94"/>
      <c r="V33" s="94"/>
    </row>
    <row r="34" spans="1:22" s="93" customFormat="1">
      <c r="A34" s="249"/>
      <c r="B34" s="262" t="s">
        <v>66</v>
      </c>
      <c r="C34" s="254"/>
      <c r="D34" s="89"/>
      <c r="E34" s="89"/>
      <c r="F34" s="89"/>
      <c r="G34" s="90"/>
      <c r="H34" s="91"/>
      <c r="I34" s="71">
        <f>IF(COUNTIF('N- Finances'!$A:$A,$B34)&gt;1,
   SUMIFS('N- Finances'!$C:$C,'N- Finances'!$A:$A,$B34),
   _xlfn.XLOOKUP($B34,'N- Finances'!$A:$A,'N- Finances'!$C:$C,"",0)
)</f>
        <v>20000000</v>
      </c>
      <c r="J34" s="162">
        <v>10800000</v>
      </c>
      <c r="K34" s="91"/>
      <c r="L34" s="91"/>
      <c r="M34" s="89"/>
      <c r="N34" s="89"/>
      <c r="O34" s="89"/>
      <c r="P34" s="89"/>
      <c r="Q34" s="89"/>
      <c r="R34" s="89"/>
      <c r="S34" s="89"/>
      <c r="T34" s="89"/>
      <c r="U34" s="89"/>
      <c r="V34" s="92"/>
    </row>
    <row r="35" spans="1:22" s="93" customFormat="1">
      <c r="A35" s="249"/>
      <c r="B35" s="263" t="s">
        <v>68</v>
      </c>
      <c r="C35" s="254"/>
      <c r="D35" s="89"/>
      <c r="E35" s="89"/>
      <c r="F35" s="89"/>
      <c r="G35" s="90"/>
      <c r="H35" s="91"/>
      <c r="I35" s="71">
        <f>IF(COUNTIF('N- Finances'!$A:$A,$B35)&gt;1,
   SUMIFS('N- Finances'!$C:$C,'N- Finances'!$A:$A,$B35),
   _xlfn.XLOOKUP($B35,'N- Finances'!$A:$A,'N- Finances'!$C:$C,"",0)
)</f>
        <v>7500000</v>
      </c>
      <c r="J35" s="173">
        <v>6750000</v>
      </c>
      <c r="K35" s="91"/>
      <c r="L35" s="91"/>
      <c r="M35" s="89"/>
      <c r="N35" s="89"/>
      <c r="O35" s="89"/>
      <c r="P35" s="89"/>
      <c r="Q35" s="89"/>
      <c r="R35" s="89"/>
      <c r="S35" s="89"/>
      <c r="T35" s="89"/>
      <c r="U35" s="89"/>
      <c r="V35" s="92"/>
    </row>
    <row r="36" spans="1:22" s="93" customFormat="1" ht="29.1">
      <c r="A36" s="249"/>
      <c r="B36" s="263" t="s">
        <v>70</v>
      </c>
      <c r="C36" s="254"/>
      <c r="D36" s="89"/>
      <c r="E36" s="89"/>
      <c r="F36" s="89"/>
      <c r="G36" s="90"/>
      <c r="H36" s="91"/>
      <c r="I36" s="71">
        <f>IF(COUNTIF('N- Finances'!$A:$A,$B36)&gt;1,
   SUMIFS('N- Finances'!$C:$C,'N- Finances'!$A:$A,$B36),
   _xlfn.XLOOKUP($B36,'N- Finances'!$A:$A,'N- Finances'!$C:$C,"",0)
)</f>
        <v>416450000</v>
      </c>
      <c r="J36" s="162">
        <v>340700000</v>
      </c>
      <c r="K36" s="91"/>
      <c r="L36" s="91"/>
      <c r="M36" s="89"/>
      <c r="N36" s="89"/>
      <c r="O36" s="89"/>
      <c r="P36" s="89"/>
      <c r="Q36" s="89"/>
      <c r="R36" s="89"/>
      <c r="S36" s="89"/>
      <c r="T36" s="89"/>
      <c r="U36" s="89"/>
      <c r="V36" s="92"/>
    </row>
    <row r="37" spans="1:22" s="93" customFormat="1">
      <c r="A37" s="249"/>
      <c r="B37" s="263" t="s">
        <v>72</v>
      </c>
      <c r="C37" s="254"/>
      <c r="D37" s="89"/>
      <c r="E37" s="89"/>
      <c r="F37" s="89"/>
      <c r="G37" s="90"/>
      <c r="H37" s="91"/>
      <c r="I37" s="71">
        <f>IF(COUNTIF('N- Finances'!$A:$A,$B37)&gt;1,
   SUMIFS('N- Finances'!$C:$C,'N- Finances'!$A:$A,$B37),
   _xlfn.XLOOKUP($B37,'N- Finances'!$A:$A,'N- Finances'!$C:$C,"",0)
)</f>
        <v>75000000</v>
      </c>
      <c r="J37" s="211">
        <v>17460000</v>
      </c>
      <c r="K37" s="91"/>
      <c r="L37" s="91"/>
      <c r="M37" s="89"/>
      <c r="N37" s="89"/>
      <c r="O37" s="89"/>
      <c r="P37" s="89"/>
      <c r="Q37" s="89"/>
      <c r="R37" s="89"/>
      <c r="S37" s="89"/>
      <c r="T37" s="89"/>
      <c r="U37" s="89"/>
      <c r="V37" s="92"/>
    </row>
    <row r="38" spans="1:22" s="93" customFormat="1">
      <c r="A38" s="249"/>
      <c r="B38" s="263" t="s">
        <v>74</v>
      </c>
      <c r="C38" s="254"/>
      <c r="D38" s="89"/>
      <c r="E38" s="89"/>
      <c r="F38" s="89"/>
      <c r="G38" s="90"/>
      <c r="H38" s="91"/>
      <c r="I38" s="71">
        <f>IF(COUNTIF('N- Finances'!$A:$A,$B38)&gt;1,
   SUMIFS('N- Finances'!$C:$C,'N- Finances'!$A:$A,$B38),
   _xlfn.XLOOKUP($B38,'N- Finances'!$A:$A,'N- Finances'!$C:$C,"",0)
)</f>
        <v>20000000</v>
      </c>
      <c r="J38" s="173">
        <v>16000000</v>
      </c>
      <c r="K38" s="91"/>
      <c r="L38" s="91"/>
      <c r="M38" s="89"/>
      <c r="N38" s="89"/>
      <c r="O38" s="89"/>
      <c r="P38" s="89"/>
      <c r="Q38" s="89"/>
      <c r="R38" s="89"/>
      <c r="S38" s="89"/>
      <c r="T38" s="89"/>
      <c r="U38" s="89"/>
      <c r="V38" s="92"/>
    </row>
    <row r="39" spans="1:22" s="93" customFormat="1">
      <c r="A39" s="249"/>
      <c r="B39" s="263" t="s">
        <v>76</v>
      </c>
      <c r="C39" s="254"/>
      <c r="D39" s="89"/>
      <c r="E39" s="89"/>
      <c r="F39" s="89"/>
      <c r="G39" s="90"/>
      <c r="H39" s="91"/>
      <c r="I39" s="71">
        <f>IF(COUNTIF('N- Finances'!$A:$A,$B39)&gt;1,
   SUMIFS('N- Finances'!$C:$C,'N- Finances'!$A:$A,$B39),
   _xlfn.XLOOKUP($B39,'N- Finances'!$A:$A,'N- Finances'!$C:$C,"",0)
)</f>
        <v>17568600</v>
      </c>
      <c r="J39" s="173">
        <v>18474100</v>
      </c>
      <c r="K39" s="91"/>
      <c r="L39" s="91"/>
      <c r="M39" s="89"/>
      <c r="N39" s="89"/>
      <c r="O39" s="89"/>
      <c r="P39" s="89"/>
      <c r="Q39" s="89"/>
      <c r="R39" s="89"/>
      <c r="S39" s="89"/>
      <c r="T39" s="89"/>
      <c r="U39" s="89"/>
      <c r="V39" s="92"/>
    </row>
    <row r="40" spans="1:22" s="93" customFormat="1">
      <c r="A40" s="249"/>
      <c r="B40" s="263" t="s">
        <v>78</v>
      </c>
      <c r="C40" s="254"/>
      <c r="D40" s="89"/>
      <c r="E40" s="89"/>
      <c r="F40" s="89"/>
      <c r="G40" s="90"/>
      <c r="H40" s="91"/>
      <c r="I40" s="71">
        <f>IF(COUNTIF('N- Finances'!$A:$A,$B40)&gt;1,
   SUMIFS('N- Finances'!$C:$C,'N- Finances'!$A:$A,$B40),
   _xlfn.XLOOKUP($B40,'N- Finances'!$A:$A,'N- Finances'!$C:$C,"",0)
)</f>
        <v>15000000</v>
      </c>
      <c r="J40" s="173">
        <v>7500000</v>
      </c>
      <c r="K40" s="91"/>
      <c r="L40" s="91"/>
      <c r="M40" s="89"/>
      <c r="N40" s="89"/>
      <c r="O40" s="89"/>
      <c r="P40" s="89"/>
      <c r="Q40" s="89"/>
      <c r="R40" s="89"/>
      <c r="S40" s="89"/>
      <c r="T40" s="89"/>
      <c r="U40" s="89"/>
      <c r="V40" s="92"/>
    </row>
    <row r="41" spans="1:22" s="93" customFormat="1">
      <c r="A41" s="249"/>
      <c r="B41" s="263" t="s">
        <v>80</v>
      </c>
      <c r="C41" s="254"/>
      <c r="D41" s="89"/>
      <c r="E41" s="89"/>
      <c r="F41" s="89"/>
      <c r="G41" s="90"/>
      <c r="H41" s="91"/>
      <c r="I41" s="71">
        <f>IF(COUNTIF('N- Finances'!$A:$A,$B41)&gt;1,
   SUMIFS('N- Finances'!$C:$C,'N- Finances'!$A:$A,$B41),
   _xlfn.XLOOKUP($B41,'N- Finances'!$A:$A,'N- Finances'!$C:$C,"",0)
)</f>
        <v>120000000</v>
      </c>
      <c r="J41" s="232">
        <v>18000000</v>
      </c>
      <c r="K41" s="91"/>
      <c r="L41" s="91"/>
      <c r="M41" s="89"/>
      <c r="N41" s="89"/>
      <c r="O41" s="89"/>
      <c r="P41" s="89"/>
      <c r="Q41" s="89"/>
      <c r="R41" s="89"/>
      <c r="S41" s="89"/>
      <c r="T41" s="89"/>
      <c r="U41" s="89"/>
      <c r="V41" s="92"/>
    </row>
    <row r="42" spans="1:22" s="93" customFormat="1">
      <c r="A42" s="249"/>
      <c r="B42" s="263" t="s">
        <v>82</v>
      </c>
      <c r="C42" s="254"/>
      <c r="D42" s="89"/>
      <c r="E42" s="89"/>
      <c r="F42" s="89"/>
      <c r="G42" s="90"/>
      <c r="H42" s="91"/>
      <c r="I42" s="71">
        <f>IF(COUNTIF('N- Finances'!$A:$A,$B42)&gt;1,
   SUMIFS('N- Finances'!$C:$C,'N- Finances'!$A:$A,$B42),
   _xlfn.XLOOKUP($B42,'N- Finances'!$A:$A,'N- Finances'!$C:$C,"",0)
)</f>
        <v>12000000</v>
      </c>
      <c r="J42" s="236">
        <v>4000000</v>
      </c>
      <c r="K42" s="91"/>
      <c r="L42" s="91"/>
      <c r="M42" s="89"/>
      <c r="N42" s="89"/>
      <c r="O42" s="89"/>
      <c r="P42" s="89"/>
      <c r="Q42" s="89"/>
      <c r="R42" s="89"/>
      <c r="S42" s="89"/>
      <c r="T42" s="89"/>
      <c r="U42" s="89"/>
      <c r="V42" s="92"/>
    </row>
    <row r="43" spans="1:22" s="93" customFormat="1">
      <c r="A43" s="249"/>
      <c r="B43" s="263" t="s">
        <v>84</v>
      </c>
      <c r="C43" s="254"/>
      <c r="D43" s="89"/>
      <c r="E43" s="89"/>
      <c r="F43" s="89"/>
      <c r="G43" s="90"/>
      <c r="H43" s="91"/>
      <c r="I43" s="71">
        <f>IF(COUNTIF('N- Finances'!$A:$A,$B43)&gt;1,
   SUMIFS('N- Finances'!$C:$C,'N- Finances'!$A:$A,$B43),
   _xlfn.XLOOKUP($B43,'N- Finances'!$A:$A,'N- Finances'!$C:$C,"",0)
)</f>
        <v>15000000</v>
      </c>
      <c r="J43" s="236">
        <v>1600000</v>
      </c>
      <c r="K43" s="91"/>
      <c r="L43" s="91"/>
      <c r="M43" s="89"/>
      <c r="N43" s="89"/>
      <c r="O43" s="89"/>
      <c r="P43" s="89"/>
      <c r="Q43" s="89"/>
      <c r="R43" s="89"/>
      <c r="S43" s="89"/>
      <c r="T43" s="89"/>
      <c r="U43" s="89"/>
      <c r="V43" s="92"/>
    </row>
    <row r="44" spans="1:22" s="93" customFormat="1">
      <c r="A44" s="249"/>
      <c r="B44" s="263" t="s">
        <v>86</v>
      </c>
      <c r="C44" s="254"/>
      <c r="D44" s="89"/>
      <c r="E44" s="89"/>
      <c r="F44" s="89"/>
      <c r="G44" s="90"/>
      <c r="H44" s="91"/>
      <c r="I44" s="71">
        <f>IF(COUNTIF('N- Finances'!$A:$A,$B44)&gt;1,
   SUMIFS('N- Finances'!$C:$C,'N- Finances'!$A:$A,$B44),
   _xlfn.XLOOKUP($B44,'N- Finances'!$A:$A,'N- Finances'!$C:$C,"",0)
)</f>
        <v>175000000</v>
      </c>
      <c r="J44" s="236">
        <v>169750000</v>
      </c>
      <c r="K44" s="91"/>
      <c r="L44" s="91"/>
      <c r="M44" s="89"/>
      <c r="N44" s="89"/>
      <c r="O44" s="89"/>
      <c r="P44" s="89"/>
      <c r="Q44" s="89"/>
      <c r="R44" s="89"/>
      <c r="S44" s="89"/>
      <c r="T44" s="89"/>
      <c r="U44" s="89"/>
      <c r="V44" s="92"/>
    </row>
    <row r="45" spans="1:22" s="93" customFormat="1">
      <c r="A45" s="249"/>
      <c r="B45" s="263" t="s">
        <v>88</v>
      </c>
      <c r="C45" s="254"/>
      <c r="D45" s="89"/>
      <c r="E45" s="89"/>
      <c r="F45" s="89"/>
      <c r="G45" s="90"/>
      <c r="H45" s="91"/>
      <c r="I45" s="71">
        <f>IF(COUNTIF('N- Finances'!$A:$A,$B45)&gt;1,
   SUMIFS('N- Finances'!$C:$C,'N- Finances'!$A:$A,$B45),
   _xlfn.XLOOKUP($B45,'N- Finances'!$A:$A,'N- Finances'!$C:$C,"",0)
)</f>
        <v>15000000</v>
      </c>
      <c r="J45" s="236">
        <v>5000000</v>
      </c>
      <c r="K45" s="91"/>
      <c r="L45" s="91"/>
      <c r="M45" s="89"/>
      <c r="N45" s="89"/>
      <c r="O45" s="89"/>
      <c r="P45" s="89"/>
      <c r="Q45" s="89"/>
      <c r="R45" s="89"/>
      <c r="S45" s="89"/>
      <c r="T45" s="89"/>
      <c r="U45" s="89"/>
      <c r="V45" s="92"/>
    </row>
  </sheetData>
  <dataConsolidate/>
  <mergeCells count="7">
    <mergeCell ref="D16:D17"/>
    <mergeCell ref="L8:L9"/>
    <mergeCell ref="D8:D9"/>
    <mergeCell ref="G8:G9"/>
    <mergeCell ref="G16:G17"/>
    <mergeCell ref="H16:H17"/>
    <mergeCell ref="L16:L17"/>
  </mergeCells>
  <phoneticPr fontId="3" type="noConversion"/>
  <conditionalFormatting sqref="U1:U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048576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dataValidations count="5">
    <dataValidation type="list" allowBlank="1" sqref="F22:F26 F3:F20 D22:D26 D18:D19 D3:D16 C29:C1048576" xr:uid="{22A455DA-9C2D-4988-A1EB-E739CD3C29BF}">
      <formula1>"Academic,Non-Academic"</formula1>
    </dataValidation>
    <dataValidation type="date" allowBlank="1" showInputMessage="1" showErrorMessage="1" sqref="F15:F20" xr:uid="{4EDED2A9-F2C2-47DC-8ED0-FB6F8F89DF5E}">
      <formula1>36526</formula1>
      <formula2>401769</formula2>
    </dataValidation>
    <dataValidation type="list" allowBlank="1" showInputMessage="1" showErrorMessage="1" sqref="N2:N26" xr:uid="{430EF2D1-5D87-4CDA-94B0-BFC35B36C951}">
      <formula1>"Stage1-Planning,Stage2-Architect Onboarding,Stage3-Concept Design, Stage-4 Detailed Design/Statuatory Approach,Stage5-Contractor Onboarding, Stage6- Ground Breaking, Stage7- Construction, Stage8- Completed, Completed and Active, "</formula1>
    </dataValidation>
    <dataValidation type="list" allowBlank="1" sqref="C2:C4 C6:C29" xr:uid="{B7E52563-4D29-494B-BDD1-95C59F1F08D9}">
      <formula1>"Academic, Research, Student Housing, Labs, Non-academic"</formula1>
    </dataValidation>
    <dataValidation type="list" allowBlank="1" showInputMessage="1" showErrorMessage="1" sqref="N27:N1048576 O29:P1048576" xr:uid="{BD3F3A2E-8FEB-416F-9299-6F831A904DEB}">
      <formula1>"Stage1-Planning,Stage2-Design,Stage3-Under Construction,Stage-4On Hold,Stage5-Completed"</formula1>
    </dataValidation>
  </dataValidations>
  <hyperlinks>
    <hyperlink ref="Q8" r:id="rId1" xr:uid="{2783E249-3B86-494C-9EBC-3698FA985BA4}"/>
    <hyperlink ref="R2" r:id="rId2" display="https://iitbacr-my.sharepoint.com/:f:/p/siddhant_gupta/IgAbUwMu9gEER7LpY8B-p1OoAZEugT_9-wE9ZYvfU6fG-Jw?e=CzmcV7" xr:uid="{BD7E0F56-60FE-4666-A5FE-A2FECA4DC8F9}"/>
    <hyperlink ref="R19" r:id="rId3" display="https://iitbacr-my.sharepoint.com/:f:/p/siddhant_gupta/IgBfNMMTHttqQ7vSxZvjwVMEAeZ_LDN-0rtCs1cJ0Rkqh0s?e=tYksf1" xr:uid="{5A56BB0E-BE46-44FA-A881-674D2DF2AAD1}"/>
    <hyperlink ref="R8" r:id="rId4" display="https://iitbacr-my.sharepoint.com/:f:/r/personal/siddhant_gupta_iitbacr_com/Documents/INFRA/AB1/Designs?csf=1&amp;web=1&amp;e=DKlBq9" xr:uid="{49910E71-AB56-436C-8CB3-85FB8B3EEF5D}"/>
    <hyperlink ref="R16" r:id="rId5" display="https://iitbacr-my.sharepoint.com/:f:/r/personal/siddhant_gupta_iitbacr_com/Documents/INFRA/AB3/Designs?csf=1&amp;web=1&amp;e=iDzfpf" xr:uid="{6756A5E7-5F6B-465C-AA77-5E6F8ADE2743}"/>
    <hyperlink ref="R9" r:id="rId6" display="https://iitbacr-my.sharepoint.com/:f:/r/personal/siddhant_gupta_iitbacr_com/Documents/INFRA/AB2/Designs?csf=1&amp;web=1&amp;e=VVFi45" xr:uid="{3F5E7FA4-2338-4F17-B3B1-F75E9D7FA7B6}"/>
    <hyperlink ref="R10" r:id="rId7" display="https://iitbacr-my.sharepoint.com/:f:/r/personal/siddhant_gupta_iitbacr_com/Documents/INFRA/ASB1/Designs?csf=1&amp;web=1&amp;e=k2uIZ2" xr:uid="{9D5F2137-AC94-4FF0-B0F6-F55DFAA2EEF8}"/>
    <hyperlink ref="R11" r:id="rId8" display="https://iitbacr-my.sharepoint.com/:f:/r/personal/siddhant_gupta_iitbacr_com/Documents/INFRA/ASB2/Designs?csf=1&amp;web=1&amp;e=dAuwd0" xr:uid="{0BB9F86C-1897-428F-9947-E72F1EA840CE}"/>
    <hyperlink ref="R15" r:id="rId9" display="https://iitbacr-my.sharepoint.com/:f:/r/personal/siddhant_gupta_iitbacr_com/Documents/INFRA/Alumni Center/Designs?csf=1&amp;web=1&amp;e=dtyKqh" xr:uid="{93A1F91F-3CFA-42AB-8549-53915483B06A}"/>
    <hyperlink ref="Q15" r:id="rId10" display="https://iitbacr-my.sharepoint.com/:f:/r/personal/siddhant_gupta_iitbacr_com/Documents/INFRA/Alumni Center/Pictures?csf=1&amp;web=1&amp;e=vpAYr1" xr:uid="{6345AD7B-3670-49B5-96ED-6F7C1162B7AB}"/>
    <hyperlink ref="Q2" r:id="rId11" display="https://iitbacr-my.sharepoint.com/:f:/r/personal/siddhant_gupta_iitbacr_com/Documents/INFRA/Hostel 4/Pictures?csf=1&amp;web=1&amp;e=KIkdNN" xr:uid="{F601EF1B-55D8-4258-AF11-552F7A282E35}"/>
    <hyperlink ref="Q19" r:id="rId12" display="https://iitbacr-my.sharepoint.com/:f:/r/personal/siddhant_gupta_iitbacr_com/Documents/INFRA/Hostel 9/Pictures?csf=1&amp;web=1&amp;e=sv21Y9" xr:uid="{A0FA89F6-BCB3-4AA9-A24D-B568C59D158A}"/>
    <hyperlink ref="S8" r:id="rId13" display="https://iitbacr-my.sharepoint.com/:f:/r/personal/siddhant_gupta_iitbacr_com/Documents/INFRA/AB1/Reports?csf=1&amp;web=1&amp;e=IIaCJu" xr:uid="{9AE38A95-332A-4C99-9AE4-B7C68185DDE5}"/>
    <hyperlink ref="S9" r:id="rId14" display="https://iitbacr-my.sharepoint.com/:f:/r/personal/siddhant_gupta_iitbacr_com/Documents/INFRA/AB2/Reports?csf=1&amp;web=1&amp;e=3sefVT" xr:uid="{AA06AC2C-41EC-49F6-92CE-AAF35A181807}"/>
    <hyperlink ref="S16" r:id="rId15" display="https://iitbacr-my.sharepoint.com/:f:/r/personal/siddhant_gupta_iitbacr_com/Documents/INFRA/AB3/Reports?csf=1&amp;web=1&amp;e=a0MvRX" xr:uid="{623FD644-21F2-4FB2-BC10-DD1A9EDAA758}"/>
    <hyperlink ref="S15" r:id="rId16" display="https://iitbacr-my.sharepoint.com/:f:/r/personal/siddhant_gupta_iitbacr_com/Documents/INFRA/Alumni Center/Reports?csf=1&amp;web=1&amp;e=OC87kg" xr:uid="{309E71C5-0600-4FF9-8693-0161D71244E0}"/>
    <hyperlink ref="S10" r:id="rId17" display="https://iitbacr-my.sharepoint.com/:f:/r/personal/siddhant_gupta_iitbacr_com/Documents/INFRA/ASB1/Reports?csf=1&amp;web=1&amp;e=ghzzGm" xr:uid="{401676F8-B2E4-4C6E-A7EC-82B1D4CC50B5}"/>
    <hyperlink ref="S11" r:id="rId18" display="https://iitbacr-my.sharepoint.com/:f:/r/personal/siddhant_gupta_iitbacr_com/Documents/INFRA/ASB2/Reports?csf=1&amp;web=1&amp;e=RTcJVe" xr:uid="{BB7F2D93-D85B-4D77-A588-71E7E5A5E64E}"/>
    <hyperlink ref="S2" r:id="rId19" display="https://iitbacr-my.sharepoint.com/:f:/r/personal/siddhant_gupta_iitbacr_com/Documents/INFRA/Hostel 4/Reports?csf=1&amp;web=1&amp;e=VcdZWY" xr:uid="{4F9A1CDC-AC1F-4994-B8C2-A978D44290DF}"/>
    <hyperlink ref="S19" r:id="rId20" display="https://iitbacr-my.sharepoint.com/:f:/r/personal/siddhant_gupta_iitbacr_com/Documents/INFRA/Hostel 9/Reports?csf=1&amp;web=1&amp;e=WleEyh" xr:uid="{80F32D29-2627-4EDE-B377-0714471BA219}"/>
    <hyperlink ref="S20" r:id="rId21" display="https://iitbacr-my.sharepoint.com/:f:/r/personal/siddhant_gupta_iitbacr_com/Documents/INFRA/Hostel 6/Reports?csf=1&amp;web=1&amp;e=W4csCE" xr:uid="{9F10D523-FF4E-40D4-9DDB-1D8BFDB96BB7}"/>
    <hyperlink ref="Q20" r:id="rId22" display="https://iitbacr-my.sharepoint.com/:f:/r/personal/siddhant_gupta_iitbacr_com/Documents/INFRA/Hostel 6/Pictures?csf=1&amp;web=1&amp;e=hjTLfC" xr:uid="{FFDBDAE6-C3ED-4CDA-94F4-1B29B15307AB}"/>
    <hyperlink ref="R20" r:id="rId23" display="https://iitbacr-my.sharepoint.com/:f:/r/personal/siddhant_gupta_iitbacr_com/Documents/INFRA/Hostel 6/Designs?csf=1&amp;web=1&amp;e=54DD9Q" xr:uid="{FAABEA83-9232-4891-B5E1-11188D38B03C}"/>
    <hyperlink ref="M20" r:id="rId24" xr:uid="{74936AC4-B3DA-487B-80F8-CCADC60B068B}"/>
    <hyperlink ref="M2" r:id="rId25" xr:uid="{4F854CD4-3FEC-43DD-B99C-4B48CAFB6B74}"/>
    <hyperlink ref="M3" r:id="rId26" xr:uid="{C616AD61-9445-4D71-8507-456B63C927C6}"/>
    <hyperlink ref="Q29" r:id="rId27" display="https://iitbacr-my.sharepoint.com/:f:/r/personal/siddhant_gupta_iitbacr_com/Documents/INFRA/Gogri/Pictures?csf=1&amp;web=1&amp;e=oBV7sV" xr:uid="{CE61D2B9-364E-48ED-892D-B58E3F106FB5}"/>
    <hyperlink ref="Q7" r:id="rId28" display="https://iitbacr-my.sharepoint.com/:f:/r/personal/siddhant_gupta_iitbacr_com/Documents/INFRA/COPT/Pictures?csf=1&amp;web=1&amp;e=FQbQtj" xr:uid="{2A6387DF-2F83-482F-A134-EA2F2C1D0A01}"/>
    <hyperlink ref="Q14" r:id="rId29" display="https://iitbacr-my.sharepoint.com/:f:/r/personal/siddhant_gupta_iitbacr_com/Documents/INFRA/Research Hub/Photos?csf=1&amp;web=1&amp;e=E3I3N5" xr:uid="{1865A08F-F846-4A48-A64C-9DD1EBAE08EA}"/>
  </hyperlinks>
  <pageMargins left="0.75" right="0.75" top="1" bottom="1" header="0.5" footer="0.5"/>
  <pageSetup orientation="portrait" r:id="rId3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7A7C-0B25-4675-AC0B-BA2C039C2C4D}">
  <dimension ref="A1:BM91"/>
  <sheetViews>
    <sheetView topLeftCell="L1" zoomScale="55" zoomScaleNormal="55" workbookViewId="0">
      <selection activeCell="L24" sqref="L24"/>
    </sheetView>
  </sheetViews>
  <sheetFormatPr defaultRowHeight="14.45"/>
  <cols>
    <col min="1" max="1" width="32.7109375" customWidth="1"/>
    <col min="2" max="2" width="6.85546875" customWidth="1"/>
    <col min="3" max="3" width="9.28515625" customWidth="1"/>
    <col min="4" max="4" width="9.5703125" customWidth="1"/>
    <col min="5" max="5" width="8.85546875" customWidth="1"/>
    <col min="6" max="49" width="9.42578125" customWidth="1"/>
    <col min="50" max="50" width="9.5703125" bestFit="1" customWidth="1"/>
    <col min="51" max="52" width="9.42578125" customWidth="1"/>
    <col min="53" max="53" width="9" customWidth="1"/>
  </cols>
  <sheetData>
    <row r="1" spans="1:65" ht="16.5" thickTop="1" thickBot="1">
      <c r="A1" s="74"/>
      <c r="B1" s="74"/>
      <c r="D1" s="148"/>
      <c r="E1" s="148"/>
      <c r="F1" s="149"/>
      <c r="AD1" s="85"/>
      <c r="AE1" s="107"/>
      <c r="AF1" s="78" t="s">
        <v>177</v>
      </c>
      <c r="AG1" s="77"/>
      <c r="AH1" s="77"/>
      <c r="AI1" s="79"/>
      <c r="AJ1" s="108"/>
      <c r="AK1" s="78" t="s">
        <v>178</v>
      </c>
      <c r="AL1" s="77"/>
      <c r="AM1" s="77"/>
      <c r="AN1" s="77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</row>
    <row r="2" spans="1:65" ht="15.95" thickTop="1">
      <c r="G2" s="103" t="s">
        <v>179</v>
      </c>
      <c r="H2" s="102"/>
      <c r="I2" s="83" t="s">
        <v>180</v>
      </c>
      <c r="J2" s="84"/>
      <c r="K2" s="84"/>
      <c r="L2" s="86"/>
      <c r="M2" t="s">
        <v>181</v>
      </c>
      <c r="P2" s="87"/>
      <c r="Q2" t="s">
        <v>182</v>
      </c>
      <c r="S2" s="84"/>
      <c r="T2" s="88"/>
      <c r="U2" t="s">
        <v>183</v>
      </c>
      <c r="Z2" s="106"/>
      <c r="AA2" s="83" t="s">
        <v>184</v>
      </c>
      <c r="AB2" s="84"/>
      <c r="AC2" s="84"/>
    </row>
    <row r="3" spans="1:65" ht="15" thickBot="1"/>
    <row r="4" spans="1:65" ht="29.1" customHeight="1" thickBot="1">
      <c r="A4" s="142" t="s">
        <v>0</v>
      </c>
      <c r="B4" s="143" t="s">
        <v>185</v>
      </c>
      <c r="C4" s="143" t="s">
        <v>186</v>
      </c>
      <c r="D4" s="144" t="s">
        <v>187</v>
      </c>
      <c r="E4" s="145" t="s">
        <v>188</v>
      </c>
      <c r="F4" s="150">
        <v>45292</v>
      </c>
      <c r="G4" s="151">
        <v>45323</v>
      </c>
      <c r="H4" s="151">
        <v>45352</v>
      </c>
      <c r="I4" s="152">
        <v>45383</v>
      </c>
      <c r="J4" s="152">
        <v>45413</v>
      </c>
      <c r="K4" s="152">
        <v>45444</v>
      </c>
      <c r="L4" s="152">
        <v>45474</v>
      </c>
      <c r="M4" s="152">
        <v>45505</v>
      </c>
      <c r="N4" s="152">
        <v>45536</v>
      </c>
      <c r="O4" s="152">
        <v>45566</v>
      </c>
      <c r="P4" s="152">
        <v>45597</v>
      </c>
      <c r="Q4" s="152">
        <v>45627</v>
      </c>
      <c r="R4" s="152">
        <v>45658</v>
      </c>
      <c r="S4" s="152">
        <v>45689</v>
      </c>
      <c r="T4" s="152">
        <v>45717</v>
      </c>
      <c r="U4" s="152">
        <v>45748</v>
      </c>
      <c r="V4" s="152">
        <v>45778</v>
      </c>
      <c r="W4" s="152">
        <v>45809</v>
      </c>
      <c r="X4" s="152">
        <v>45839</v>
      </c>
      <c r="Y4" s="152">
        <v>45870</v>
      </c>
      <c r="Z4" s="153">
        <v>45901</v>
      </c>
      <c r="AA4" s="153">
        <v>45931</v>
      </c>
      <c r="AB4" s="153">
        <v>45962</v>
      </c>
      <c r="AC4" s="153">
        <v>45992</v>
      </c>
      <c r="AD4" s="153">
        <v>46023</v>
      </c>
      <c r="AE4" s="153">
        <v>46054</v>
      </c>
      <c r="AF4" s="153">
        <v>46082</v>
      </c>
      <c r="AG4" s="153">
        <v>46113</v>
      </c>
      <c r="AH4" s="153">
        <v>46143</v>
      </c>
      <c r="AI4" s="153">
        <v>46174</v>
      </c>
      <c r="AJ4" s="153">
        <v>46204</v>
      </c>
      <c r="AK4" s="153">
        <v>46235</v>
      </c>
      <c r="AL4" s="153">
        <v>46266</v>
      </c>
      <c r="AM4" s="153">
        <v>46296</v>
      </c>
      <c r="AN4" s="153">
        <v>46327</v>
      </c>
      <c r="AO4" s="153">
        <v>46357</v>
      </c>
      <c r="AP4" s="153">
        <v>46388</v>
      </c>
      <c r="AQ4" s="153">
        <v>46419</v>
      </c>
      <c r="AR4" s="153">
        <v>46447</v>
      </c>
      <c r="AS4" s="153">
        <v>46478</v>
      </c>
      <c r="AT4" s="153">
        <v>46508</v>
      </c>
      <c r="AU4" s="153">
        <v>46539</v>
      </c>
      <c r="AV4" s="153">
        <v>46569</v>
      </c>
      <c r="AW4" s="153">
        <v>46600</v>
      </c>
      <c r="AX4" s="153">
        <v>46631</v>
      </c>
      <c r="AY4" s="153">
        <v>46661</v>
      </c>
      <c r="AZ4" s="153">
        <v>46692</v>
      </c>
      <c r="BA4" s="153">
        <v>46722</v>
      </c>
      <c r="BB4" s="146"/>
      <c r="BC4" s="146"/>
      <c r="BD4" s="147"/>
      <c r="BE4" s="76"/>
      <c r="BF4" s="76"/>
      <c r="BG4" s="76"/>
      <c r="BH4" s="76"/>
      <c r="BI4" s="76"/>
      <c r="BJ4" s="76"/>
      <c r="BK4" s="76"/>
      <c r="BL4" s="76"/>
      <c r="BM4" s="76"/>
    </row>
    <row r="5" spans="1:65" ht="17.45" thickBot="1">
      <c r="A5" s="134" t="s">
        <v>2</v>
      </c>
      <c r="B5" s="135"/>
      <c r="C5" s="136">
        <v>1</v>
      </c>
      <c r="D5" s="137">
        <v>2023</v>
      </c>
      <c r="E5" s="138">
        <v>2025</v>
      </c>
      <c r="F5" s="139"/>
      <c r="G5" s="140"/>
      <c r="H5" s="140"/>
      <c r="I5" s="140"/>
      <c r="J5" s="141"/>
      <c r="K5" s="141"/>
      <c r="L5" s="141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8"/>
      <c r="AN5" s="82"/>
      <c r="AO5" s="82"/>
      <c r="AP5" s="82"/>
      <c r="AQ5" s="82"/>
      <c r="AR5" s="82"/>
      <c r="AS5" s="82"/>
      <c r="AT5" s="82"/>
      <c r="AU5" s="81"/>
      <c r="AV5" s="81"/>
      <c r="AW5" s="81"/>
      <c r="AX5" s="81"/>
      <c r="AY5" s="81"/>
      <c r="AZ5" s="81"/>
      <c r="BA5" s="81"/>
      <c r="BB5" s="81"/>
      <c r="BC5" s="81"/>
      <c r="BD5" s="110"/>
      <c r="BE5" s="81"/>
      <c r="BF5" s="81"/>
      <c r="BG5" s="81"/>
      <c r="BH5" s="81"/>
      <c r="BI5" s="81"/>
      <c r="BJ5" s="81"/>
      <c r="BK5" s="81"/>
      <c r="BL5" s="81"/>
      <c r="BM5" s="81"/>
    </row>
    <row r="6" spans="1:65" ht="30" thickTop="1" thickBot="1">
      <c r="A6" s="124" t="s">
        <v>4</v>
      </c>
      <c r="B6" s="104"/>
      <c r="C6" s="105">
        <v>1</v>
      </c>
      <c r="D6" s="48">
        <v>2023</v>
      </c>
      <c r="E6" s="125">
        <v>45870</v>
      </c>
      <c r="F6" s="109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88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110"/>
      <c r="BE6" s="81"/>
      <c r="BF6" s="81"/>
      <c r="BG6" s="81"/>
      <c r="BH6" s="81"/>
      <c r="BI6" s="81"/>
      <c r="BJ6" s="81"/>
      <c r="BK6" s="81"/>
      <c r="BL6" s="81"/>
      <c r="BM6" s="81"/>
    </row>
    <row r="7" spans="1:65" ht="18" thickTop="1" thickBot="1">
      <c r="A7" s="126" t="s">
        <v>6</v>
      </c>
      <c r="B7" s="104"/>
      <c r="C7" s="105">
        <v>0.35</v>
      </c>
      <c r="D7" s="48">
        <v>2024</v>
      </c>
      <c r="E7" s="125">
        <v>46204</v>
      </c>
      <c r="F7" s="109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88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110"/>
      <c r="BE7" s="81"/>
      <c r="BF7" s="81"/>
      <c r="BG7" s="81"/>
      <c r="BH7" s="81"/>
      <c r="BI7" s="81"/>
      <c r="BJ7" s="81"/>
      <c r="BK7" s="81"/>
      <c r="BL7" s="81"/>
      <c r="BM7" s="81"/>
    </row>
    <row r="8" spans="1:65" ht="30" thickTop="1" thickBot="1">
      <c r="A8" s="127" t="s">
        <v>8</v>
      </c>
      <c r="B8" s="104"/>
      <c r="C8" s="105">
        <v>0.1</v>
      </c>
      <c r="D8" s="48"/>
      <c r="E8" s="123"/>
      <c r="F8" s="111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110"/>
      <c r="BE8" s="81"/>
      <c r="BF8" s="81"/>
      <c r="BG8" s="81"/>
      <c r="BH8" s="81"/>
      <c r="BI8" s="81"/>
      <c r="BJ8" s="81"/>
      <c r="BK8" s="81"/>
      <c r="BL8" s="81"/>
      <c r="BM8" s="81"/>
    </row>
    <row r="9" spans="1:65" ht="18" thickTop="1" thickBot="1">
      <c r="A9" s="128" t="s">
        <v>10</v>
      </c>
      <c r="B9" s="104"/>
      <c r="C9" s="105">
        <v>0.85</v>
      </c>
      <c r="D9" s="48"/>
      <c r="E9" s="123">
        <v>2024</v>
      </c>
      <c r="F9" s="111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110"/>
      <c r="BE9" s="81"/>
      <c r="BF9" s="81"/>
      <c r="BG9" s="81"/>
      <c r="BH9" s="81"/>
      <c r="BI9" s="81"/>
      <c r="BJ9" s="81"/>
      <c r="BK9" s="81"/>
      <c r="BL9" s="81"/>
      <c r="BM9" s="81"/>
    </row>
    <row r="10" spans="1:65" ht="18" thickTop="1" thickBot="1">
      <c r="A10" s="128" t="s">
        <v>12</v>
      </c>
      <c r="B10" s="104"/>
      <c r="C10" s="105">
        <v>0.85</v>
      </c>
      <c r="D10" s="48">
        <v>2024</v>
      </c>
      <c r="E10" s="125">
        <v>46296</v>
      </c>
      <c r="F10" s="109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88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110"/>
      <c r="BE10" s="81"/>
      <c r="BF10" s="81"/>
      <c r="BG10" s="81"/>
      <c r="BH10" s="81"/>
      <c r="BI10" s="81"/>
      <c r="BJ10" s="81"/>
      <c r="BK10" s="81"/>
      <c r="BL10" s="81"/>
      <c r="BM10" s="81"/>
    </row>
    <row r="11" spans="1:65" ht="18" thickTop="1" thickBot="1">
      <c r="A11" s="126" t="s">
        <v>14</v>
      </c>
      <c r="B11" s="104"/>
      <c r="C11" s="105">
        <v>0.5</v>
      </c>
      <c r="D11" s="48">
        <v>2024</v>
      </c>
      <c r="E11" s="125">
        <v>46478</v>
      </c>
      <c r="F11" s="109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88"/>
      <c r="AU11" s="81"/>
      <c r="AV11" s="81"/>
      <c r="AW11" s="81"/>
      <c r="AX11" s="81"/>
      <c r="AY11" s="81"/>
      <c r="AZ11" s="81"/>
      <c r="BA11" s="81"/>
      <c r="BB11" s="81"/>
      <c r="BC11" s="81"/>
      <c r="BD11" s="110"/>
      <c r="BE11" s="81"/>
      <c r="BF11" s="81"/>
      <c r="BG11" s="81"/>
      <c r="BH11" s="81"/>
      <c r="BI11" s="81"/>
      <c r="BJ11" s="81"/>
      <c r="BK11" s="81"/>
      <c r="BL11" s="81"/>
      <c r="BM11" s="81"/>
    </row>
    <row r="12" spans="1:65" ht="18" thickTop="1" thickBot="1">
      <c r="A12" s="126" t="s">
        <v>16</v>
      </c>
      <c r="B12" s="104"/>
      <c r="C12" s="105">
        <v>0.6</v>
      </c>
      <c r="D12" s="48">
        <v>2024</v>
      </c>
      <c r="E12" s="125">
        <v>46478</v>
      </c>
      <c r="F12" s="109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88"/>
      <c r="AU12" s="81"/>
      <c r="AV12" s="81"/>
      <c r="AW12" s="81"/>
      <c r="AX12" s="81"/>
      <c r="AY12" s="81"/>
      <c r="AZ12" s="81"/>
      <c r="BA12" s="81"/>
      <c r="BB12" s="81"/>
      <c r="BC12" s="81"/>
      <c r="BD12" s="110"/>
      <c r="BE12" s="81"/>
      <c r="BF12" s="81"/>
      <c r="BG12" s="81"/>
      <c r="BH12" s="81"/>
      <c r="BI12" s="81"/>
      <c r="BJ12" s="81"/>
      <c r="BK12" s="81"/>
      <c r="BL12" s="81"/>
      <c r="BM12" s="81"/>
    </row>
    <row r="13" spans="1:65" ht="18" thickTop="1" thickBot="1">
      <c r="A13" s="124" t="s">
        <v>18</v>
      </c>
      <c r="B13" s="104"/>
      <c r="C13" s="105">
        <v>0.75</v>
      </c>
      <c r="D13" s="48">
        <v>2024</v>
      </c>
      <c r="E13" s="125">
        <v>46357</v>
      </c>
      <c r="F13" s="109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108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88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110"/>
      <c r="BE13" s="81"/>
      <c r="BF13" s="81"/>
      <c r="BG13" s="81"/>
      <c r="BH13" s="81"/>
      <c r="BI13" s="81"/>
      <c r="BJ13" s="81"/>
      <c r="BK13" s="81"/>
      <c r="BL13" s="81"/>
      <c r="BM13" s="81"/>
    </row>
    <row r="14" spans="1:65" ht="18" thickTop="1" thickBot="1">
      <c r="A14" s="122" t="s">
        <v>20</v>
      </c>
      <c r="B14" s="104"/>
      <c r="C14" s="105">
        <v>1</v>
      </c>
      <c r="D14" s="48">
        <v>2024</v>
      </c>
      <c r="E14" s="125">
        <v>46357</v>
      </c>
      <c r="F14" s="109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88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110"/>
      <c r="BE14" s="81"/>
      <c r="BF14" s="81"/>
      <c r="BG14" s="81"/>
      <c r="BH14" s="81"/>
      <c r="BI14" s="81"/>
      <c r="BJ14" s="81"/>
      <c r="BK14" s="81"/>
      <c r="BL14" s="81"/>
      <c r="BM14" s="81"/>
    </row>
    <row r="15" spans="1:65" ht="18" thickTop="1" thickBot="1">
      <c r="A15" s="126" t="s">
        <v>22</v>
      </c>
      <c r="B15" s="104"/>
      <c r="C15" s="105">
        <v>0.6</v>
      </c>
      <c r="D15" s="48">
        <v>2024</v>
      </c>
      <c r="E15" s="125">
        <v>46357</v>
      </c>
      <c r="F15" s="109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88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110"/>
      <c r="BE15" s="81"/>
      <c r="BF15" s="81"/>
      <c r="BG15" s="81"/>
      <c r="BH15" s="81"/>
      <c r="BI15" s="81"/>
      <c r="BJ15" s="81"/>
      <c r="BK15" s="81"/>
      <c r="BL15" s="81"/>
      <c r="BM15" s="81"/>
    </row>
    <row r="16" spans="1:65" ht="18" thickTop="1" thickBot="1">
      <c r="A16" s="122" t="s">
        <v>24</v>
      </c>
      <c r="B16" s="104"/>
      <c r="C16" s="105">
        <v>0</v>
      </c>
      <c r="D16" s="48"/>
      <c r="E16" s="123"/>
      <c r="F16" s="112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1"/>
      <c r="AA16" s="81"/>
      <c r="AB16" s="81"/>
      <c r="AC16" s="81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88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110"/>
      <c r="BE16" s="81"/>
      <c r="BF16" s="81"/>
      <c r="BG16" s="81"/>
      <c r="BH16" s="81"/>
      <c r="BI16" s="81"/>
      <c r="BJ16" s="81"/>
      <c r="BK16" s="81"/>
      <c r="BL16" s="81"/>
      <c r="BM16" s="81"/>
    </row>
    <row r="17" spans="1:65" ht="18" thickTop="1" thickBot="1">
      <c r="A17" s="126" t="s">
        <v>26</v>
      </c>
      <c r="B17" s="104"/>
      <c r="C17" s="105">
        <v>0.5</v>
      </c>
      <c r="D17" s="48">
        <v>2026</v>
      </c>
      <c r="E17" s="125">
        <v>46722</v>
      </c>
      <c r="F17" s="112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1"/>
      <c r="AA17" s="81"/>
      <c r="AB17" s="81"/>
      <c r="AC17" s="81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81"/>
      <c r="BB17" s="81"/>
      <c r="BC17" s="81"/>
      <c r="BD17" s="110"/>
      <c r="BE17" s="81"/>
      <c r="BF17" s="81"/>
      <c r="BG17" s="81"/>
      <c r="BH17" s="81"/>
      <c r="BI17" s="81"/>
      <c r="BJ17" s="81"/>
      <c r="BK17" s="81"/>
      <c r="BL17" s="81"/>
      <c r="BM17" s="81"/>
    </row>
    <row r="18" spans="1:65" ht="18" thickTop="1" thickBot="1">
      <c r="A18" s="126" t="s">
        <v>28</v>
      </c>
      <c r="B18" s="104"/>
      <c r="C18" s="105">
        <v>0</v>
      </c>
      <c r="D18" s="48">
        <v>2026</v>
      </c>
      <c r="E18" s="123">
        <v>2028</v>
      </c>
      <c r="F18" s="112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1"/>
      <c r="AA18" s="81"/>
      <c r="AB18" s="81"/>
      <c r="AC18" s="81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88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110"/>
      <c r="BE18" s="81"/>
      <c r="BF18" s="81"/>
      <c r="BG18" s="81"/>
      <c r="BH18" s="81"/>
      <c r="BI18" s="81"/>
      <c r="BJ18" s="81"/>
      <c r="BK18" s="81"/>
      <c r="BL18" s="81"/>
      <c r="BM18" s="81"/>
    </row>
    <row r="19" spans="1:65" ht="18" thickTop="1" thickBot="1">
      <c r="A19" s="124" t="s">
        <v>30</v>
      </c>
      <c r="B19" s="104"/>
      <c r="C19" s="105">
        <v>0.01</v>
      </c>
      <c r="D19" s="48">
        <v>2026</v>
      </c>
      <c r="E19" s="125">
        <v>46722</v>
      </c>
      <c r="F19" s="112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1"/>
      <c r="AA19" s="81"/>
      <c r="AB19" s="81"/>
      <c r="AC19" s="81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88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110"/>
      <c r="BE19" s="81"/>
      <c r="BF19" s="81"/>
      <c r="BG19" s="81"/>
      <c r="BH19" s="81"/>
      <c r="BI19" s="81"/>
      <c r="BJ19" s="81"/>
      <c r="BK19" s="81"/>
      <c r="BL19" s="81"/>
      <c r="BM19" s="81"/>
    </row>
    <row r="20" spans="1:65" ht="18" thickTop="1" thickBot="1">
      <c r="A20" s="126" t="s">
        <v>32</v>
      </c>
      <c r="B20" s="104"/>
      <c r="C20" s="105">
        <v>0.8</v>
      </c>
      <c r="D20" s="48">
        <v>2026</v>
      </c>
      <c r="E20" s="125">
        <v>46722</v>
      </c>
      <c r="F20" s="112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1"/>
      <c r="AA20" s="81"/>
      <c r="AB20" s="81"/>
      <c r="AC20" s="81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88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110"/>
      <c r="BE20" s="81"/>
      <c r="BF20" s="81"/>
      <c r="BG20" s="81"/>
      <c r="BH20" s="81"/>
      <c r="BI20" s="81"/>
      <c r="BJ20" s="81"/>
      <c r="BK20" s="81"/>
      <c r="BL20" s="81"/>
      <c r="BM20" s="81"/>
    </row>
    <row r="21" spans="1:65" ht="18" thickTop="1" thickBot="1">
      <c r="A21" s="128" t="s">
        <v>34</v>
      </c>
      <c r="B21" s="104"/>
      <c r="C21" s="105">
        <v>0</v>
      </c>
      <c r="D21" s="48"/>
      <c r="E21" s="123"/>
      <c r="F21" s="112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1"/>
      <c r="AA21" s="81"/>
      <c r="AB21" s="81"/>
      <c r="AC21" s="81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81"/>
      <c r="BD21" s="110"/>
      <c r="BE21" s="81"/>
      <c r="BF21" s="81"/>
      <c r="BG21" s="81"/>
      <c r="BH21" s="81"/>
      <c r="BI21" s="81"/>
      <c r="BJ21" s="81"/>
      <c r="BK21" s="81"/>
      <c r="BL21" s="81"/>
      <c r="BM21" s="81"/>
    </row>
    <row r="22" spans="1:65" ht="18" thickTop="1" thickBot="1">
      <c r="A22" s="126" t="s">
        <v>36</v>
      </c>
      <c r="B22" s="104"/>
      <c r="C22" s="105">
        <v>0</v>
      </c>
      <c r="D22" s="57">
        <v>46174</v>
      </c>
      <c r="E22" s="125">
        <v>46813</v>
      </c>
      <c r="F22" s="112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1"/>
      <c r="AA22" s="81"/>
      <c r="AB22" s="81"/>
      <c r="AC22" s="81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81"/>
      <c r="BD22" s="110"/>
      <c r="BE22" s="81"/>
      <c r="BF22" s="81"/>
      <c r="BG22" s="81"/>
      <c r="BH22" s="81"/>
      <c r="BI22" s="81"/>
      <c r="BJ22" s="81"/>
      <c r="BK22" s="81"/>
      <c r="BL22" s="81"/>
      <c r="BM22" s="81"/>
    </row>
    <row r="23" spans="1:65" ht="17.45" thickTop="1">
      <c r="A23" s="126" t="s">
        <v>38</v>
      </c>
      <c r="B23" s="104"/>
      <c r="C23" s="105">
        <v>0</v>
      </c>
      <c r="D23" s="57">
        <v>46174</v>
      </c>
      <c r="E23" s="125">
        <v>46813</v>
      </c>
      <c r="F23" s="112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110"/>
      <c r="BE23" s="81"/>
      <c r="BF23" s="81"/>
      <c r="BG23" s="81"/>
      <c r="BH23" s="81"/>
      <c r="BI23" s="81"/>
      <c r="BJ23" s="81"/>
      <c r="BK23" s="81"/>
      <c r="BL23" s="81"/>
      <c r="BM23" s="81"/>
    </row>
    <row r="24" spans="1:65" ht="17.45" thickBot="1">
      <c r="A24" s="122" t="s">
        <v>40</v>
      </c>
      <c r="B24" s="104"/>
      <c r="C24" s="105">
        <v>0</v>
      </c>
      <c r="D24" s="101">
        <v>45182</v>
      </c>
      <c r="E24" s="129">
        <v>46277</v>
      </c>
      <c r="F24" s="109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88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110"/>
      <c r="BE24" s="81"/>
      <c r="BF24" s="81"/>
      <c r="BG24" s="81"/>
      <c r="BH24" s="81"/>
      <c r="BI24" s="81"/>
      <c r="BJ24" s="81"/>
      <c r="BK24" s="81"/>
      <c r="BL24" s="81"/>
      <c r="BM24" s="81"/>
    </row>
    <row r="25" spans="1:65" ht="18" thickTop="1" thickBot="1">
      <c r="A25" s="122" t="s">
        <v>42</v>
      </c>
      <c r="B25" s="104"/>
      <c r="C25" s="105">
        <v>0.44</v>
      </c>
      <c r="D25" s="48"/>
      <c r="E25" s="123"/>
      <c r="F25" s="112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1"/>
      <c r="AA25" s="81"/>
      <c r="AB25" s="81"/>
      <c r="AC25" s="81"/>
      <c r="AD25" s="75"/>
      <c r="AE25" s="75"/>
      <c r="AF25" s="75"/>
      <c r="AG25" s="75"/>
      <c r="AH25" s="75"/>
      <c r="AI25" s="75"/>
      <c r="AJ25" s="75"/>
      <c r="AK25" s="75"/>
      <c r="AL25" s="75"/>
      <c r="AM25" s="88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110"/>
      <c r="BE25" s="81"/>
      <c r="BF25" s="81"/>
      <c r="BG25" s="81"/>
      <c r="BH25" s="81"/>
      <c r="BI25" s="81"/>
      <c r="BJ25" s="81"/>
      <c r="BK25" s="81"/>
      <c r="BL25" s="81"/>
      <c r="BM25" s="81"/>
    </row>
    <row r="26" spans="1:65" ht="18" thickTop="1" thickBot="1">
      <c r="A26" s="128" t="s">
        <v>44</v>
      </c>
      <c r="B26" s="104"/>
      <c r="C26" s="105">
        <v>0</v>
      </c>
      <c r="D26" s="48">
        <v>2026</v>
      </c>
      <c r="E26" s="125">
        <v>46600</v>
      </c>
      <c r="F26" s="112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1"/>
      <c r="AA26" s="81"/>
      <c r="AB26" s="81"/>
      <c r="AC26" s="81"/>
      <c r="AD26" s="75"/>
      <c r="AE26" s="75"/>
      <c r="AF26" s="75"/>
      <c r="AG26" s="75"/>
      <c r="AH26" s="75"/>
      <c r="AI26" s="75"/>
      <c r="AJ26" s="75"/>
      <c r="AK26" s="75"/>
      <c r="AL26" s="75"/>
      <c r="AM26" s="88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110"/>
      <c r="BE26" s="81"/>
      <c r="BF26" s="81"/>
      <c r="BG26" s="81"/>
      <c r="BH26" s="81"/>
      <c r="BI26" s="81"/>
      <c r="BJ26" s="81"/>
      <c r="BK26" s="81"/>
      <c r="BL26" s="81"/>
      <c r="BM26" s="81"/>
    </row>
    <row r="27" spans="1:65" ht="18" thickTop="1" thickBot="1">
      <c r="A27" s="128" t="s">
        <v>46</v>
      </c>
      <c r="B27" s="104"/>
      <c r="C27" s="105">
        <v>0.12</v>
      </c>
      <c r="D27" s="48"/>
      <c r="E27" s="123"/>
      <c r="F27" s="112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1"/>
      <c r="AA27" s="81"/>
      <c r="AB27" s="81"/>
      <c r="AC27" s="81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81"/>
      <c r="BD27" s="110"/>
      <c r="BE27" s="81"/>
      <c r="BF27" s="81"/>
      <c r="BG27" s="81"/>
      <c r="BH27" s="81"/>
      <c r="BI27" s="81"/>
      <c r="BJ27" s="81"/>
      <c r="BK27" s="81"/>
      <c r="BL27" s="81"/>
      <c r="BM27" s="81"/>
    </row>
    <row r="28" spans="1:65" ht="17.45" thickTop="1">
      <c r="A28" s="128" t="s">
        <v>48</v>
      </c>
      <c r="B28" s="104"/>
      <c r="C28" s="105">
        <v>0.05</v>
      </c>
      <c r="D28" s="48"/>
      <c r="E28" s="123"/>
      <c r="F28" s="112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110"/>
      <c r="BE28" s="81"/>
      <c r="BF28" s="81"/>
      <c r="BG28" s="81"/>
      <c r="BH28" s="81"/>
      <c r="BI28" s="81"/>
      <c r="BJ28" s="81"/>
      <c r="BK28" s="81"/>
      <c r="BL28" s="81"/>
      <c r="BM28" s="81"/>
    </row>
    <row r="29" spans="1:65" ht="17.45" thickBot="1">
      <c r="A29" s="128" t="s">
        <v>50</v>
      </c>
      <c r="B29" s="104"/>
      <c r="C29" s="105">
        <v>0</v>
      </c>
      <c r="D29" s="48">
        <v>2026</v>
      </c>
      <c r="E29" s="123">
        <v>2027</v>
      </c>
      <c r="F29" s="112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1"/>
      <c r="AA29" s="81"/>
      <c r="AB29" s="81"/>
      <c r="AC29" s="81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81"/>
      <c r="BD29" s="110"/>
      <c r="BE29" s="81"/>
      <c r="BF29" s="81"/>
      <c r="BG29" s="81"/>
      <c r="BH29" s="81"/>
      <c r="BI29" s="81"/>
      <c r="BJ29" s="81"/>
      <c r="BK29" s="81"/>
      <c r="BL29" s="81"/>
      <c r="BM29" s="81"/>
    </row>
    <row r="30" spans="1:65" ht="18" thickTop="1" thickBot="1">
      <c r="A30" s="124" t="s">
        <v>52</v>
      </c>
      <c r="B30" s="104"/>
      <c r="C30" s="105">
        <v>0.5</v>
      </c>
      <c r="D30" s="48">
        <v>2023</v>
      </c>
      <c r="E30" s="125">
        <v>45992</v>
      </c>
      <c r="F30" s="109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88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110"/>
      <c r="BE30" s="81"/>
      <c r="BF30" s="81"/>
      <c r="BG30" s="81"/>
      <c r="BH30" s="81"/>
      <c r="BI30" s="81"/>
      <c r="BJ30" s="81"/>
      <c r="BK30" s="81"/>
      <c r="BL30" s="81"/>
      <c r="BM30" s="81"/>
    </row>
    <row r="31" spans="1:65" ht="15.6" thickTop="1" thickBot="1">
      <c r="A31" s="124" t="s">
        <v>54</v>
      </c>
      <c r="B31" s="10"/>
      <c r="C31" s="10"/>
      <c r="D31" s="57">
        <v>46357</v>
      </c>
      <c r="E31" s="123">
        <v>2028</v>
      </c>
      <c r="F31" s="112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D31" s="113"/>
    </row>
    <row r="32" spans="1:65" ht="16.5" thickTop="1" thickBot="1">
      <c r="A32" s="130" t="s">
        <v>56</v>
      </c>
      <c r="B32" s="131"/>
      <c r="C32" s="131"/>
      <c r="D32" s="132">
        <v>45931</v>
      </c>
      <c r="E32" s="133">
        <v>46023</v>
      </c>
      <c r="F32" s="114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7"/>
      <c r="T32" s="117"/>
      <c r="U32" s="117"/>
      <c r="V32" s="117"/>
      <c r="W32" s="117"/>
      <c r="X32" s="117"/>
      <c r="Y32" s="117"/>
      <c r="Z32" s="117"/>
      <c r="AA32" s="117"/>
      <c r="AB32" s="118"/>
      <c r="AC32" s="118"/>
      <c r="AD32" s="119"/>
      <c r="AE32" s="120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6"/>
    </row>
    <row r="45" spans="1:1">
      <c r="A45">
        <v>45292</v>
      </c>
    </row>
    <row r="46" spans="1:1">
      <c r="A46">
        <v>45323</v>
      </c>
    </row>
    <row r="47" spans="1:1">
      <c r="A47">
        <v>45352</v>
      </c>
    </row>
    <row r="48" spans="1:1">
      <c r="A48">
        <v>45383</v>
      </c>
    </row>
    <row r="49" spans="1:1">
      <c r="A49">
        <v>45413</v>
      </c>
    </row>
    <row r="50" spans="1:1">
      <c r="A50">
        <v>45444</v>
      </c>
    </row>
    <row r="51" spans="1:1">
      <c r="A51">
        <v>45474</v>
      </c>
    </row>
    <row r="52" spans="1:1">
      <c r="A52">
        <v>45505</v>
      </c>
    </row>
    <row r="53" spans="1:1">
      <c r="A53">
        <v>45536</v>
      </c>
    </row>
    <row r="54" spans="1:1">
      <c r="A54">
        <v>45566</v>
      </c>
    </row>
    <row r="55" spans="1:1">
      <c r="A55">
        <v>45597</v>
      </c>
    </row>
    <row r="56" spans="1:1">
      <c r="A56">
        <v>45627</v>
      </c>
    </row>
    <row r="57" spans="1:1">
      <c r="A57">
        <v>45658</v>
      </c>
    </row>
    <row r="58" spans="1:1">
      <c r="A58">
        <v>45689</v>
      </c>
    </row>
    <row r="59" spans="1:1">
      <c r="A59">
        <v>45717</v>
      </c>
    </row>
    <row r="60" spans="1:1">
      <c r="A60">
        <v>45748</v>
      </c>
    </row>
    <row r="61" spans="1:1">
      <c r="A61">
        <v>45778</v>
      </c>
    </row>
    <row r="62" spans="1:1">
      <c r="A62">
        <v>45809</v>
      </c>
    </row>
    <row r="63" spans="1:1">
      <c r="A63">
        <v>45839</v>
      </c>
    </row>
    <row r="64" spans="1:1">
      <c r="A64">
        <v>45870</v>
      </c>
    </row>
    <row r="65" spans="1:1">
      <c r="A65">
        <v>45901</v>
      </c>
    </row>
    <row r="66" spans="1:1">
      <c r="A66">
        <v>45931</v>
      </c>
    </row>
    <row r="67" spans="1:1">
      <c r="A67">
        <v>45962</v>
      </c>
    </row>
    <row r="68" spans="1:1">
      <c r="A68">
        <v>45992</v>
      </c>
    </row>
    <row r="69" spans="1:1">
      <c r="A69">
        <v>46023</v>
      </c>
    </row>
    <row r="70" spans="1:1">
      <c r="A70">
        <v>46054</v>
      </c>
    </row>
    <row r="71" spans="1:1">
      <c r="A71">
        <v>46082</v>
      </c>
    </row>
    <row r="72" spans="1:1">
      <c r="A72">
        <v>46113</v>
      </c>
    </row>
    <row r="73" spans="1:1">
      <c r="A73">
        <v>46143</v>
      </c>
    </row>
    <row r="74" spans="1:1">
      <c r="A74">
        <v>46174</v>
      </c>
    </row>
    <row r="75" spans="1:1">
      <c r="A75">
        <v>46204</v>
      </c>
    </row>
    <row r="76" spans="1:1">
      <c r="A76">
        <v>46235</v>
      </c>
    </row>
    <row r="77" spans="1:1">
      <c r="A77">
        <v>46266</v>
      </c>
    </row>
    <row r="78" spans="1:1">
      <c r="A78">
        <v>46296</v>
      </c>
    </row>
    <row r="79" spans="1:1">
      <c r="A79">
        <v>46327</v>
      </c>
    </row>
    <row r="80" spans="1:1">
      <c r="A80">
        <v>46357</v>
      </c>
    </row>
    <row r="81" spans="1:1">
      <c r="A81">
        <v>46388</v>
      </c>
    </row>
    <row r="82" spans="1:1">
      <c r="A82">
        <v>46419</v>
      </c>
    </row>
    <row r="83" spans="1:1">
      <c r="A83">
        <v>46447</v>
      </c>
    </row>
    <row r="84" spans="1:1">
      <c r="A84">
        <v>46478</v>
      </c>
    </row>
    <row r="85" spans="1:1">
      <c r="A85">
        <v>46508</v>
      </c>
    </row>
    <row r="86" spans="1:1">
      <c r="A86">
        <v>46539</v>
      </c>
    </row>
    <row r="87" spans="1:1">
      <c r="A87">
        <v>46569</v>
      </c>
    </row>
    <row r="88" spans="1:1">
      <c r="A88">
        <v>46600</v>
      </c>
    </row>
    <row r="89" spans="1:1">
      <c r="A89">
        <v>46631</v>
      </c>
    </row>
    <row r="90" spans="1:1">
      <c r="A90">
        <v>46661</v>
      </c>
    </row>
    <row r="91" spans="1:1">
      <c r="A91">
        <v>46692</v>
      </c>
    </row>
  </sheetData>
  <conditionalFormatting sqref="G5">
    <cfRule type="expression" priority="8">
      <formula>AND(H$4&gt;=$D5, H$4&lt;=$E5)</formula>
    </cfRule>
  </conditionalFormatting>
  <conditionalFormatting sqref="H5:U5 AM5:BA5 AM24:AM26">
    <cfRule type="expression" priority="9">
      <formula>AND(H$4&gt;=$D5, H$4&lt;=$E5)</formula>
    </cfRule>
  </conditionalFormatting>
  <conditionalFormatting sqref="I5">
    <cfRule type="expression" priority="19">
      <formula>AND(H$4&gt;=$D5, H$4&lt;=$E5)</formula>
    </cfRule>
    <cfRule type="colorScale" priority="20">
      <colorScale>
        <cfvo type="min"/>
        <cfvo type="max"/>
        <color rgb="FFFF7128"/>
        <color rgb="FFFFEF9C"/>
      </colorScale>
    </cfRule>
  </conditionalFormatting>
  <conditionalFormatting sqref="BB5:BC5">
    <cfRule type="expression" priority="14">
      <formula>AND(#REF!&gt;=$D5, #REF!&lt;=$E5)</formula>
    </cfRule>
  </conditionalFormatting>
  <dataValidations count="3">
    <dataValidation type="list" allowBlank="1" showInputMessage="1" showErrorMessage="1" sqref="B5:B32" xr:uid="{50D6E3F6-C989-4295-8E05-089576FAB281}">
      <formula1>"1. Planning, 2. Architectural Onboarding, 3. Concept On-boarding, 4. Detailed Design and Statuary Approval, 5. Contractor Onboarding, 6. Ground Breaking, 7. Construction,"</formula1>
    </dataValidation>
    <dataValidation type="list" allowBlank="1" sqref="E25:E29 E6:E23" xr:uid="{2594BF79-BBDE-4E64-B397-6505F995EF56}">
      <formula1>"Academic,Non-Academic"</formula1>
    </dataValidation>
    <dataValidation type="date" allowBlank="1" showInputMessage="1" showErrorMessage="1" sqref="E18:E23" xr:uid="{4FE73645-8097-40C0-9D03-33885438DC2E}">
      <formula1>36526</formula1>
      <formula2>401769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9471-8EE2-46B9-B6E1-BEAA04E56113}">
  <dimension ref="A2:BB91"/>
  <sheetViews>
    <sheetView topLeftCell="A16" workbookViewId="0">
      <selection activeCell="G18" sqref="G18"/>
    </sheetView>
  </sheetViews>
  <sheetFormatPr defaultRowHeight="14.45"/>
  <cols>
    <col min="1" max="1" width="13.85546875" customWidth="1"/>
    <col min="4" max="4" width="14.5703125" bestFit="1" customWidth="1"/>
  </cols>
  <sheetData>
    <row r="2" spans="1:54">
      <c r="C2" t="s">
        <v>189</v>
      </c>
      <c r="I2" t="s">
        <v>180</v>
      </c>
      <c r="M2" t="s">
        <v>181</v>
      </c>
      <c r="Q2" t="s">
        <v>182</v>
      </c>
      <c r="U2" t="s">
        <v>183</v>
      </c>
      <c r="AA2" t="s">
        <v>184</v>
      </c>
      <c r="AF2" t="s">
        <v>190</v>
      </c>
      <c r="AK2" t="s">
        <v>178</v>
      </c>
    </row>
    <row r="3" spans="1:54">
      <c r="A3" t="s">
        <v>0</v>
      </c>
      <c r="B3" t="s">
        <v>185</v>
      </c>
      <c r="C3" t="s">
        <v>186</v>
      </c>
      <c r="D3" t="s">
        <v>187</v>
      </c>
      <c r="E3" t="s">
        <v>188</v>
      </c>
    </row>
    <row r="4" spans="1:54">
      <c r="F4" s="100"/>
      <c r="H4">
        <v>45292</v>
      </c>
      <c r="I4">
        <v>45323</v>
      </c>
      <c r="J4">
        <v>45352</v>
      </c>
      <c r="K4">
        <v>45383</v>
      </c>
      <c r="L4">
        <v>45413</v>
      </c>
      <c r="M4">
        <v>45444</v>
      </c>
      <c r="N4">
        <v>45474</v>
      </c>
      <c r="O4">
        <v>45505</v>
      </c>
      <c r="P4">
        <v>45536</v>
      </c>
      <c r="Q4">
        <v>45566</v>
      </c>
      <c r="R4">
        <v>45597</v>
      </c>
      <c r="S4">
        <v>45627</v>
      </c>
      <c r="T4">
        <v>45658</v>
      </c>
      <c r="U4">
        <v>45689</v>
      </c>
      <c r="V4">
        <v>45717</v>
      </c>
      <c r="W4">
        <v>45748</v>
      </c>
      <c r="X4">
        <v>45778</v>
      </c>
      <c r="Y4">
        <v>45809</v>
      </c>
      <c r="Z4">
        <v>45839</v>
      </c>
      <c r="AA4">
        <v>45870</v>
      </c>
      <c r="AB4">
        <v>45901</v>
      </c>
      <c r="AC4">
        <v>45931</v>
      </c>
      <c r="AD4">
        <v>45962</v>
      </c>
      <c r="AE4">
        <v>45992</v>
      </c>
      <c r="AF4">
        <v>46023</v>
      </c>
      <c r="AG4">
        <v>46054</v>
      </c>
      <c r="AH4">
        <v>46082</v>
      </c>
      <c r="AI4">
        <v>46113</v>
      </c>
      <c r="AJ4">
        <v>46143</v>
      </c>
      <c r="AK4">
        <v>46174</v>
      </c>
      <c r="AL4">
        <v>46204</v>
      </c>
      <c r="AM4">
        <v>46235</v>
      </c>
      <c r="AN4">
        <v>46266</v>
      </c>
      <c r="AO4">
        <v>46296</v>
      </c>
      <c r="AP4">
        <v>46327</v>
      </c>
      <c r="AQ4">
        <v>46357</v>
      </c>
      <c r="AR4">
        <v>46388</v>
      </c>
      <c r="AS4">
        <v>46419</v>
      </c>
      <c r="AT4">
        <v>46447</v>
      </c>
      <c r="AU4">
        <v>46478</v>
      </c>
      <c r="AV4">
        <v>46508</v>
      </c>
      <c r="AW4">
        <v>46539</v>
      </c>
      <c r="AX4">
        <v>46569</v>
      </c>
      <c r="AY4">
        <v>46600</v>
      </c>
      <c r="AZ4">
        <v>46631</v>
      </c>
      <c r="BA4">
        <v>46661</v>
      </c>
      <c r="BB4">
        <v>46692</v>
      </c>
    </row>
    <row r="5" spans="1:54">
      <c r="A5" t="s">
        <v>2</v>
      </c>
      <c r="B5" t="s">
        <v>191</v>
      </c>
      <c r="C5">
        <v>0.25</v>
      </c>
      <c r="D5">
        <f>VLOOKUP(A5,'Projects Tracker'!B:F,4,1)</f>
        <v>0</v>
      </c>
      <c r="E5" t="e" vm="1">
        <v>#VALUE!</v>
      </c>
    </row>
    <row r="6" spans="1:54">
      <c r="A6" t="s">
        <v>4</v>
      </c>
      <c r="B6">
        <v>1</v>
      </c>
      <c r="C6">
        <v>1</v>
      </c>
      <c r="D6">
        <f>VLOOKUP(A6,'Projects Tracker'!B:F,4,1)</f>
        <v>2026</v>
      </c>
    </row>
    <row r="7" spans="1:54">
      <c r="A7" t="s">
        <v>6</v>
      </c>
      <c r="B7">
        <v>2</v>
      </c>
      <c r="C7">
        <v>0.35</v>
      </c>
      <c r="D7" s="99">
        <f>VLOOKUP(A7,'Projects Tracker'!B:F,4,1)</f>
        <v>0</v>
      </c>
    </row>
    <row r="8" spans="1:54">
      <c r="A8" t="s">
        <v>8</v>
      </c>
      <c r="B8">
        <v>4</v>
      </c>
      <c r="C8">
        <v>0.1</v>
      </c>
      <c r="D8">
        <f>VLOOKUP(A8,'Projects Tracker'!B:F,4,1)</f>
        <v>0</v>
      </c>
    </row>
    <row r="9" spans="1:54">
      <c r="A9" t="s">
        <v>10</v>
      </c>
      <c r="B9">
        <v>4</v>
      </c>
      <c r="C9">
        <v>0.85</v>
      </c>
      <c r="D9" s="99" t="e">
        <f>VLOOKUP(A9,'Projects Tracker'!B:F,4,1)</f>
        <v>#N/A</v>
      </c>
    </row>
    <row r="10" spans="1:54">
      <c r="A10" t="s">
        <v>12</v>
      </c>
      <c r="B10">
        <v>4</v>
      </c>
      <c r="C10">
        <v>0.85</v>
      </c>
      <c r="D10">
        <f>VLOOKUP(A10,'Projects Tracker'!B:F,4,1)</f>
        <v>2026</v>
      </c>
      <c r="E10">
        <v>45870</v>
      </c>
    </row>
    <row r="11" spans="1:54">
      <c r="A11" t="s">
        <v>14</v>
      </c>
      <c r="B11">
        <v>5</v>
      </c>
      <c r="C11">
        <v>0.5</v>
      </c>
      <c r="D11">
        <f>VLOOKUP(A11,'Projects Tracker'!B:F,4,1)</f>
        <v>2024</v>
      </c>
    </row>
    <row r="12" spans="1:54">
      <c r="A12" t="s">
        <v>16</v>
      </c>
      <c r="B12">
        <v>5</v>
      </c>
      <c r="C12">
        <v>0.6</v>
      </c>
      <c r="D12">
        <f>VLOOKUP(A12,'Projects Tracker'!B:F,4,1)</f>
        <v>2024</v>
      </c>
    </row>
    <row r="13" spans="1:54">
      <c r="A13" t="s">
        <v>18</v>
      </c>
      <c r="B13">
        <v>5</v>
      </c>
      <c r="C13">
        <v>0.75</v>
      </c>
      <c r="D13">
        <f>VLOOKUP(A13,'Projects Tracker'!B:F,4,1)</f>
        <v>2026</v>
      </c>
    </row>
    <row r="14" spans="1:54">
      <c r="A14" t="s">
        <v>20</v>
      </c>
      <c r="B14">
        <v>6</v>
      </c>
      <c r="C14">
        <v>1</v>
      </c>
      <c r="D14">
        <f>VLOOKUP(A14,'Projects Tracker'!B:F,4,1)</f>
        <v>2026</v>
      </c>
    </row>
    <row r="15" spans="1:54">
      <c r="A15" t="s">
        <v>22</v>
      </c>
      <c r="B15">
        <v>6</v>
      </c>
      <c r="C15">
        <v>0.6</v>
      </c>
      <c r="D15">
        <f>VLOOKUP(A15,'Projects Tracker'!B:F,4,1)</f>
        <v>0</v>
      </c>
    </row>
    <row r="16" spans="1:54">
      <c r="A16" t="s">
        <v>24</v>
      </c>
      <c r="B16">
        <v>9</v>
      </c>
      <c r="C16">
        <v>0</v>
      </c>
      <c r="D16">
        <f>VLOOKUP(A16,'Projects Tracker'!B:F,4,1)</f>
        <v>2026</v>
      </c>
    </row>
    <row r="17" spans="1:4">
      <c r="A17" t="s">
        <v>26</v>
      </c>
      <c r="B17">
        <v>9</v>
      </c>
      <c r="C17">
        <v>0.5</v>
      </c>
      <c r="D17">
        <f>VLOOKUP(A17,'Projects Tracker'!B:F,4,1)</f>
        <v>0</v>
      </c>
    </row>
    <row r="18" spans="1:4">
      <c r="A18" t="s">
        <v>28</v>
      </c>
      <c r="B18">
        <v>9</v>
      </c>
      <c r="C18">
        <v>0</v>
      </c>
      <c r="D18">
        <f>VLOOKUP(A18,'Projects Tracker'!B:F,4,1)</f>
        <v>2026</v>
      </c>
    </row>
    <row r="19" spans="1:4">
      <c r="A19" t="s">
        <v>30</v>
      </c>
      <c r="B19">
        <v>9</v>
      </c>
      <c r="C19">
        <v>0.01</v>
      </c>
      <c r="D19">
        <f>VLOOKUP(A19,'Projects Tracker'!B:F,4,1)</f>
        <v>2026</v>
      </c>
    </row>
    <row r="20" spans="1:4">
      <c r="A20" t="s">
        <v>32</v>
      </c>
      <c r="B20">
        <v>10</v>
      </c>
      <c r="C20">
        <v>0.8</v>
      </c>
      <c r="D20">
        <f>VLOOKUP(A20,'Projects Tracker'!B:F,4,1)</f>
        <v>2026</v>
      </c>
    </row>
    <row r="21" spans="1:4">
      <c r="A21" t="s">
        <v>34</v>
      </c>
      <c r="B21">
        <v>11</v>
      </c>
      <c r="C21">
        <v>0</v>
      </c>
      <c r="D21">
        <f>VLOOKUP(A21,'Projects Tracker'!B:F,4,1)</f>
        <v>0</v>
      </c>
    </row>
    <row r="22" spans="1:4">
      <c r="A22" t="s">
        <v>36</v>
      </c>
      <c r="B22">
        <v>12</v>
      </c>
      <c r="C22">
        <v>0</v>
      </c>
      <c r="D22">
        <f>VLOOKUP(A22,'Projects Tracker'!B:F,4,1)</f>
        <v>0</v>
      </c>
    </row>
    <row r="23" spans="1:4">
      <c r="A23" t="s">
        <v>38</v>
      </c>
      <c r="B23">
        <v>12</v>
      </c>
      <c r="C23">
        <v>0</v>
      </c>
      <c r="D23">
        <f>VLOOKUP(A23,'Projects Tracker'!B:F,4,1)</f>
        <v>0</v>
      </c>
    </row>
    <row r="24" spans="1:4">
      <c r="A24" t="s">
        <v>40</v>
      </c>
      <c r="B24">
        <v>14</v>
      </c>
      <c r="C24">
        <v>0</v>
      </c>
      <c r="D24">
        <f>VLOOKUP(A24,'Projects Tracker'!B:F,4,1)</f>
        <v>2026</v>
      </c>
    </row>
    <row r="25" spans="1:4">
      <c r="A25" t="s">
        <v>42</v>
      </c>
      <c r="B25">
        <v>14</v>
      </c>
      <c r="C25">
        <v>0.44</v>
      </c>
      <c r="D25">
        <f>VLOOKUP(A25,'Projects Tracker'!B:F,4,1)</f>
        <v>0</v>
      </c>
    </row>
    <row r="26" spans="1:4">
      <c r="A26" t="s">
        <v>44</v>
      </c>
      <c r="B26">
        <v>14</v>
      </c>
      <c r="C26">
        <v>0</v>
      </c>
      <c r="D26">
        <f>VLOOKUP(A26,'Projects Tracker'!B:F,4,1)</f>
        <v>2026</v>
      </c>
    </row>
    <row r="27" spans="1:4">
      <c r="A27" t="s">
        <v>46</v>
      </c>
      <c r="B27">
        <v>15</v>
      </c>
      <c r="C27">
        <v>0.12</v>
      </c>
      <c r="D27">
        <f>VLOOKUP(A27,'Projects Tracker'!B:F,4,1)</f>
        <v>0</v>
      </c>
    </row>
    <row r="28" spans="1:4">
      <c r="A28" t="s">
        <v>48</v>
      </c>
      <c r="B28">
        <v>15</v>
      </c>
      <c r="C28">
        <v>0.05</v>
      </c>
      <c r="D28">
        <f>VLOOKUP(A28,'Projects Tracker'!B:F,4,1)</f>
        <v>0</v>
      </c>
    </row>
    <row r="29" spans="1:4">
      <c r="A29" t="s">
        <v>50</v>
      </c>
      <c r="B29">
        <v>15</v>
      </c>
      <c r="C29">
        <v>0</v>
      </c>
      <c r="D29">
        <f>VLOOKUP(A29,'Projects Tracker'!B:F,4,1)</f>
        <v>2026</v>
      </c>
    </row>
    <row r="30" spans="1:4">
      <c r="A30" t="s">
        <v>52</v>
      </c>
      <c r="B30">
        <v>16</v>
      </c>
      <c r="C30">
        <v>0.5</v>
      </c>
      <c r="D30">
        <f>VLOOKUP(A30,'Projects Tracker'!B:F,4,1)</f>
        <v>0</v>
      </c>
    </row>
    <row r="31" spans="1:4">
      <c r="A31" t="s">
        <v>54</v>
      </c>
      <c r="D31">
        <f>VLOOKUP(A31,'Projects Tracker'!B:F,4,1)</f>
        <v>46357</v>
      </c>
    </row>
    <row r="32" spans="1:4">
      <c r="A32" t="s">
        <v>56</v>
      </c>
      <c r="D32">
        <f>VLOOKUP(A32,'Projects Tracker'!B:F,4,1)</f>
        <v>2026</v>
      </c>
    </row>
    <row r="45" spans="1:1">
      <c r="A45">
        <v>45292</v>
      </c>
    </row>
    <row r="46" spans="1:1">
      <c r="A46">
        <v>45323</v>
      </c>
    </row>
    <row r="47" spans="1:1">
      <c r="A47">
        <v>45352</v>
      </c>
    </row>
    <row r="48" spans="1:1">
      <c r="A48">
        <v>45383</v>
      </c>
    </row>
    <row r="49" spans="1:1">
      <c r="A49">
        <v>45413</v>
      </c>
    </row>
    <row r="50" spans="1:1">
      <c r="A50">
        <v>45444</v>
      </c>
    </row>
    <row r="51" spans="1:1">
      <c r="A51">
        <v>45474</v>
      </c>
    </row>
    <row r="52" spans="1:1">
      <c r="A52">
        <v>45505</v>
      </c>
    </row>
    <row r="53" spans="1:1">
      <c r="A53">
        <v>45536</v>
      </c>
    </row>
    <row r="54" spans="1:1">
      <c r="A54">
        <v>45566</v>
      </c>
    </row>
    <row r="55" spans="1:1">
      <c r="A55">
        <v>45597</v>
      </c>
    </row>
    <row r="56" spans="1:1">
      <c r="A56">
        <v>45627</v>
      </c>
    </row>
    <row r="57" spans="1:1">
      <c r="A57">
        <v>45658</v>
      </c>
    </row>
    <row r="58" spans="1:1">
      <c r="A58">
        <v>45689</v>
      </c>
    </row>
    <row r="59" spans="1:1">
      <c r="A59">
        <v>45717</v>
      </c>
    </row>
    <row r="60" spans="1:1">
      <c r="A60">
        <v>45748</v>
      </c>
    </row>
    <row r="61" spans="1:1">
      <c r="A61">
        <v>45778</v>
      </c>
    </row>
    <row r="62" spans="1:1">
      <c r="A62">
        <v>45809</v>
      </c>
    </row>
    <row r="63" spans="1:1">
      <c r="A63">
        <v>45839</v>
      </c>
    </row>
    <row r="64" spans="1:1">
      <c r="A64">
        <v>45870</v>
      </c>
    </row>
    <row r="65" spans="1:1">
      <c r="A65">
        <v>45901</v>
      </c>
    </row>
    <row r="66" spans="1:1">
      <c r="A66">
        <v>45931</v>
      </c>
    </row>
    <row r="67" spans="1:1">
      <c r="A67">
        <v>45962</v>
      </c>
    </row>
    <row r="68" spans="1:1">
      <c r="A68">
        <v>45992</v>
      </c>
    </row>
    <row r="69" spans="1:1">
      <c r="A69">
        <v>46023</v>
      </c>
    </row>
    <row r="70" spans="1:1">
      <c r="A70">
        <v>46054</v>
      </c>
    </row>
    <row r="71" spans="1:1">
      <c r="A71">
        <v>46082</v>
      </c>
    </row>
    <row r="72" spans="1:1">
      <c r="A72">
        <v>46113</v>
      </c>
    </row>
    <row r="73" spans="1:1">
      <c r="A73">
        <v>46143</v>
      </c>
    </row>
    <row r="74" spans="1:1">
      <c r="A74">
        <v>46174</v>
      </c>
    </row>
    <row r="75" spans="1:1">
      <c r="A75">
        <v>46204</v>
      </c>
    </row>
    <row r="76" spans="1:1">
      <c r="A76">
        <v>46235</v>
      </c>
    </row>
    <row r="77" spans="1:1">
      <c r="A77">
        <v>46266</v>
      </c>
    </row>
    <row r="78" spans="1:1">
      <c r="A78">
        <v>46296</v>
      </c>
    </row>
    <row r="79" spans="1:1">
      <c r="A79">
        <v>46327</v>
      </c>
    </row>
    <row r="80" spans="1:1">
      <c r="A80">
        <v>46357</v>
      </c>
    </row>
    <row r="81" spans="1:1">
      <c r="A81">
        <v>46388</v>
      </c>
    </row>
    <row r="82" spans="1:1">
      <c r="A82">
        <v>46419</v>
      </c>
    </row>
    <row r="83" spans="1:1">
      <c r="A83">
        <v>46447</v>
      </c>
    </row>
    <row r="84" spans="1:1">
      <c r="A84">
        <v>46478</v>
      </c>
    </row>
    <row r="85" spans="1:1">
      <c r="A85">
        <v>46508</v>
      </c>
    </row>
    <row r="86" spans="1:1">
      <c r="A86">
        <v>46539</v>
      </c>
    </row>
    <row r="87" spans="1:1">
      <c r="A87">
        <v>46569</v>
      </c>
    </row>
    <row r="88" spans="1:1">
      <c r="A88">
        <v>46600</v>
      </c>
    </row>
    <row r="89" spans="1:1">
      <c r="A89">
        <v>46631</v>
      </c>
    </row>
    <row r="90" spans="1:1">
      <c r="A90">
        <v>46661</v>
      </c>
    </row>
    <row r="91" spans="1:1">
      <c r="A91">
        <v>46692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8FAE-1A22-444A-9E55-7744090FBA50}">
  <dimension ref="A1:V52"/>
  <sheetViews>
    <sheetView topLeftCell="A32" workbookViewId="0">
      <selection activeCell="C10" sqref="C10"/>
    </sheetView>
  </sheetViews>
  <sheetFormatPr defaultRowHeight="14.45"/>
  <cols>
    <col min="2" max="2" width="29.85546875" bestFit="1" customWidth="1"/>
    <col min="3" max="4" width="15.5703125" bestFit="1" customWidth="1"/>
    <col min="5" max="5" width="19.5703125" bestFit="1" customWidth="1"/>
    <col min="7" max="7" width="13.85546875" bestFit="1" customWidth="1"/>
    <col min="8" max="8" width="15.5703125" bestFit="1" customWidth="1"/>
    <col min="9" max="9" width="10.85546875" bestFit="1" customWidth="1"/>
    <col min="10" max="10" width="13.85546875" bestFit="1" customWidth="1"/>
    <col min="11" max="11" width="7.85546875" bestFit="1" customWidth="1"/>
    <col min="12" max="12" width="15.5703125" bestFit="1" customWidth="1"/>
    <col min="13" max="13" width="11.42578125" customWidth="1"/>
    <col min="14" max="14" width="15.5703125" bestFit="1" customWidth="1"/>
    <col min="18" max="18" width="8.28515625" bestFit="1" customWidth="1"/>
  </cols>
  <sheetData>
    <row r="1" spans="1:22" ht="39">
      <c r="A1" s="282" t="s">
        <v>192</v>
      </c>
      <c r="B1" s="282" t="s">
        <v>193</v>
      </c>
      <c r="C1" s="154" t="s">
        <v>97</v>
      </c>
      <c r="D1" s="288" t="s">
        <v>194</v>
      </c>
      <c r="E1" s="290" t="s">
        <v>195</v>
      </c>
      <c r="F1" s="288" t="s">
        <v>196</v>
      </c>
      <c r="G1" s="276" t="s">
        <v>197</v>
      </c>
      <c r="H1" s="284" t="s">
        <v>198</v>
      </c>
      <c r="I1" s="278" t="s">
        <v>199</v>
      </c>
      <c r="J1" s="286" t="s">
        <v>200</v>
      </c>
      <c r="K1" s="278" t="s">
        <v>201</v>
      </c>
      <c r="L1" s="276" t="s">
        <v>202</v>
      </c>
      <c r="M1" s="278" t="s">
        <v>203</v>
      </c>
      <c r="N1" s="276" t="s">
        <v>204</v>
      </c>
      <c r="O1" s="278" t="s">
        <v>205</v>
      </c>
      <c r="P1" s="280" t="s">
        <v>206</v>
      </c>
      <c r="Q1" s="282" t="s">
        <v>207</v>
      </c>
      <c r="R1" s="282" t="s">
        <v>208</v>
      </c>
      <c r="S1" s="295"/>
      <c r="T1" s="292"/>
      <c r="U1" s="292"/>
      <c r="V1" s="293"/>
    </row>
    <row r="2" spans="1:22">
      <c r="A2" s="283"/>
      <c r="B2" s="283"/>
      <c r="C2" s="157" t="s">
        <v>209</v>
      </c>
      <c r="D2" s="289"/>
      <c r="E2" s="291"/>
      <c r="F2" s="289"/>
      <c r="G2" s="277"/>
      <c r="H2" s="285"/>
      <c r="I2" s="279"/>
      <c r="J2" s="287"/>
      <c r="K2" s="279"/>
      <c r="L2" s="277"/>
      <c r="M2" s="279"/>
      <c r="N2" s="277"/>
      <c r="O2" s="279"/>
      <c r="P2" s="281"/>
      <c r="Q2" s="283"/>
      <c r="R2" s="283"/>
      <c r="S2" s="295"/>
      <c r="T2" s="292"/>
      <c r="U2" s="292"/>
      <c r="V2" s="293"/>
    </row>
    <row r="3" spans="1:22" ht="21">
      <c r="A3" s="294" t="s">
        <v>210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</row>
    <row r="4" spans="1:22">
      <c r="A4" s="274" t="s">
        <v>14</v>
      </c>
      <c r="B4" s="161" t="s">
        <v>211</v>
      </c>
      <c r="C4" s="162">
        <v>100000000</v>
      </c>
      <c r="D4" s="162">
        <v>44300000</v>
      </c>
      <c r="E4" s="162">
        <v>42971000</v>
      </c>
      <c r="F4" s="162">
        <v>4</v>
      </c>
      <c r="G4" s="162">
        <v>1191941</v>
      </c>
      <c r="H4" s="162">
        <v>44162941</v>
      </c>
      <c r="I4" s="163">
        <v>4</v>
      </c>
      <c r="J4" s="162">
        <v>24409303</v>
      </c>
      <c r="K4" s="164">
        <v>2.44</v>
      </c>
      <c r="L4" s="162">
        <v>19753638</v>
      </c>
      <c r="M4" s="164">
        <v>1.98</v>
      </c>
      <c r="N4" s="162">
        <v>55700000</v>
      </c>
      <c r="O4" s="164">
        <v>5.57</v>
      </c>
      <c r="P4" s="161" t="s">
        <v>211</v>
      </c>
      <c r="Q4" s="165"/>
      <c r="R4" s="165"/>
      <c r="S4" s="166"/>
      <c r="T4" s="166"/>
      <c r="U4" s="166"/>
      <c r="V4" s="166"/>
    </row>
    <row r="5" spans="1:22">
      <c r="A5" s="275"/>
      <c r="B5" s="161" t="s">
        <v>212</v>
      </c>
      <c r="C5" s="162">
        <v>1000000000</v>
      </c>
      <c r="D5" s="162">
        <v>340000000</v>
      </c>
      <c r="E5" s="162">
        <v>306000000</v>
      </c>
      <c r="F5" s="162">
        <v>31</v>
      </c>
      <c r="G5" s="165" t="s">
        <v>213</v>
      </c>
      <c r="H5" s="162">
        <v>306000000</v>
      </c>
      <c r="I5" s="163">
        <v>31</v>
      </c>
      <c r="J5" s="165" t="s">
        <v>213</v>
      </c>
      <c r="K5" s="167" t="s">
        <v>213</v>
      </c>
      <c r="L5" s="162">
        <v>306000000</v>
      </c>
      <c r="M5" s="164">
        <v>30.6</v>
      </c>
      <c r="N5" s="162">
        <v>660000000</v>
      </c>
      <c r="O5" s="164">
        <v>66</v>
      </c>
      <c r="P5" s="161" t="s">
        <v>212</v>
      </c>
      <c r="Q5" s="165"/>
      <c r="R5" s="165"/>
      <c r="S5" s="166"/>
      <c r="T5" s="166"/>
      <c r="U5" s="166"/>
      <c r="V5" s="166"/>
    </row>
    <row r="6" spans="1:22">
      <c r="A6" s="274" t="s">
        <v>16</v>
      </c>
      <c r="B6" s="161" t="s">
        <v>214</v>
      </c>
      <c r="C6" s="162">
        <v>487600000</v>
      </c>
      <c r="D6" s="162">
        <v>267099003</v>
      </c>
      <c r="E6" s="162">
        <v>267099003</v>
      </c>
      <c r="F6" s="162">
        <v>27</v>
      </c>
      <c r="G6" s="168">
        <v>0</v>
      </c>
      <c r="H6" s="162">
        <v>267099003</v>
      </c>
      <c r="I6" s="163">
        <v>27</v>
      </c>
      <c r="J6" s="162">
        <v>50000000</v>
      </c>
      <c r="K6" s="164">
        <v>5</v>
      </c>
      <c r="L6" s="162">
        <v>217099003</v>
      </c>
      <c r="M6" s="164">
        <v>21.71</v>
      </c>
      <c r="N6" s="162">
        <v>220500997</v>
      </c>
      <c r="O6" s="164">
        <v>22.05</v>
      </c>
      <c r="P6" s="161" t="s">
        <v>214</v>
      </c>
      <c r="Q6" s="165"/>
      <c r="R6" s="165"/>
      <c r="S6" s="166"/>
      <c r="T6" s="166"/>
      <c r="U6" s="166"/>
      <c r="V6" s="166"/>
    </row>
    <row r="7" spans="1:22">
      <c r="A7" s="275"/>
      <c r="B7" s="161" t="s">
        <v>215</v>
      </c>
      <c r="C7" s="162">
        <v>75000000</v>
      </c>
      <c r="D7" s="165" t="s">
        <v>213</v>
      </c>
      <c r="E7" s="165" t="s">
        <v>213</v>
      </c>
      <c r="F7" s="165" t="s">
        <v>213</v>
      </c>
      <c r="G7" s="165" t="s">
        <v>213</v>
      </c>
      <c r="H7" s="165" t="s">
        <v>213</v>
      </c>
      <c r="I7" s="167" t="s">
        <v>213</v>
      </c>
      <c r="J7" s="165" t="s">
        <v>213</v>
      </c>
      <c r="K7" s="167" t="s">
        <v>213</v>
      </c>
      <c r="L7" s="165" t="s">
        <v>213</v>
      </c>
      <c r="M7" s="167" t="s">
        <v>213</v>
      </c>
      <c r="N7" s="162">
        <v>75000000</v>
      </c>
      <c r="O7" s="164">
        <v>7.5</v>
      </c>
      <c r="P7" s="161" t="s">
        <v>215</v>
      </c>
      <c r="Q7" s="165"/>
      <c r="R7" s="165"/>
      <c r="S7" s="166"/>
      <c r="T7" s="166"/>
      <c r="U7" s="166"/>
      <c r="V7" s="166"/>
    </row>
    <row r="8" spans="1:22" ht="29.1">
      <c r="A8" s="169" t="s">
        <v>216</v>
      </c>
      <c r="B8" s="161" t="s">
        <v>217</v>
      </c>
      <c r="C8" s="162">
        <v>37500000</v>
      </c>
      <c r="D8" s="162">
        <v>37500000</v>
      </c>
      <c r="E8" s="162">
        <v>37500000</v>
      </c>
      <c r="F8" s="162">
        <v>4</v>
      </c>
      <c r="G8" s="165" t="s">
        <v>213</v>
      </c>
      <c r="H8" s="162">
        <v>37500000</v>
      </c>
      <c r="I8" s="163">
        <v>4</v>
      </c>
      <c r="J8" s="165" t="s">
        <v>213</v>
      </c>
      <c r="K8" s="167" t="s">
        <v>213</v>
      </c>
      <c r="L8" s="162">
        <v>37500000</v>
      </c>
      <c r="M8" s="164">
        <v>3.75</v>
      </c>
      <c r="N8" s="165" t="s">
        <v>213</v>
      </c>
      <c r="O8" s="167" t="s">
        <v>213</v>
      </c>
      <c r="P8" s="170"/>
      <c r="Q8" s="165"/>
      <c r="R8" s="165"/>
      <c r="S8" s="166"/>
      <c r="T8" s="166"/>
      <c r="U8" s="166"/>
      <c r="V8" s="166"/>
    </row>
    <row r="9" spans="1:22">
      <c r="A9" s="296" t="s">
        <v>20</v>
      </c>
      <c r="B9" s="161" t="s">
        <v>218</v>
      </c>
      <c r="C9" s="162">
        <v>150000000</v>
      </c>
      <c r="D9" s="162">
        <v>100000000</v>
      </c>
      <c r="E9" s="162">
        <v>97000000</v>
      </c>
      <c r="F9" s="162">
        <v>10</v>
      </c>
      <c r="G9" s="162">
        <v>12946482</v>
      </c>
      <c r="H9" s="162">
        <v>109946482</v>
      </c>
      <c r="I9" s="163">
        <v>11</v>
      </c>
      <c r="J9" s="162">
        <v>733424</v>
      </c>
      <c r="K9" s="164">
        <v>7.0000000000000007E-2</v>
      </c>
      <c r="L9" s="162">
        <v>109213058</v>
      </c>
      <c r="M9" s="164">
        <v>10.92</v>
      </c>
      <c r="N9" s="162">
        <v>50000000</v>
      </c>
      <c r="O9" s="164">
        <v>5</v>
      </c>
      <c r="P9" s="161" t="s">
        <v>218</v>
      </c>
      <c r="Q9" s="165"/>
      <c r="R9" s="171">
        <v>10.92</v>
      </c>
      <c r="S9" s="166"/>
      <c r="T9" s="166"/>
      <c r="U9" s="166"/>
      <c r="V9" s="166"/>
    </row>
    <row r="10" spans="1:22">
      <c r="A10" s="297"/>
      <c r="B10" s="161" t="s">
        <v>219</v>
      </c>
      <c r="C10" s="162">
        <v>200000000</v>
      </c>
      <c r="D10" s="162">
        <v>200000000</v>
      </c>
      <c r="E10" s="162">
        <v>200000000</v>
      </c>
      <c r="F10" s="162">
        <v>20</v>
      </c>
      <c r="G10" s="165" t="s">
        <v>213</v>
      </c>
      <c r="H10" s="162">
        <v>200000000</v>
      </c>
      <c r="I10" s="163">
        <v>20</v>
      </c>
      <c r="J10" s="162">
        <v>103700000</v>
      </c>
      <c r="K10" s="164">
        <v>10.37</v>
      </c>
      <c r="L10" s="162">
        <v>96300000</v>
      </c>
      <c r="M10" s="164">
        <v>9.6300000000000008</v>
      </c>
      <c r="N10" s="165" t="s">
        <v>213</v>
      </c>
      <c r="O10" s="167" t="s">
        <v>213</v>
      </c>
      <c r="P10" s="161"/>
      <c r="Q10" s="165"/>
      <c r="R10" s="165">
        <v>14.3</v>
      </c>
      <c r="S10" s="166"/>
      <c r="T10" s="166"/>
      <c r="U10" s="166"/>
      <c r="V10" s="166"/>
    </row>
    <row r="11" spans="1:22" ht="57.95">
      <c r="A11" s="297"/>
      <c r="B11" s="172" t="s">
        <v>220</v>
      </c>
      <c r="C11" s="173">
        <v>599480000</v>
      </c>
      <c r="D11" s="174"/>
      <c r="E11" s="174" t="s">
        <v>213</v>
      </c>
      <c r="F11" s="165" t="s">
        <v>213</v>
      </c>
      <c r="G11" s="174"/>
      <c r="H11" s="165" t="s">
        <v>213</v>
      </c>
      <c r="I11" s="175" t="s">
        <v>213</v>
      </c>
      <c r="J11" s="174" t="s">
        <v>213</v>
      </c>
      <c r="K11" s="175" t="s">
        <v>213</v>
      </c>
      <c r="L11" s="165" t="s">
        <v>213</v>
      </c>
      <c r="M11" s="175" t="s">
        <v>213</v>
      </c>
      <c r="N11" s="162">
        <v>599480000</v>
      </c>
      <c r="O11" s="164">
        <v>59.95</v>
      </c>
      <c r="P11" s="160" t="s">
        <v>221</v>
      </c>
      <c r="Q11" s="174"/>
      <c r="R11" s="174" t="s">
        <v>222</v>
      </c>
      <c r="S11" s="166"/>
      <c r="T11" s="166"/>
      <c r="U11" s="166"/>
      <c r="V11" s="166"/>
    </row>
    <row r="12" spans="1:22">
      <c r="A12" s="298"/>
      <c r="B12" s="172" t="s">
        <v>223</v>
      </c>
      <c r="C12" s="173">
        <v>75000000</v>
      </c>
      <c r="D12" s="162">
        <v>50000000</v>
      </c>
      <c r="E12" s="162">
        <v>50000000</v>
      </c>
      <c r="F12" s="162">
        <v>5</v>
      </c>
      <c r="G12" s="165" t="s">
        <v>213</v>
      </c>
      <c r="H12" s="162">
        <v>50000000</v>
      </c>
      <c r="I12" s="165" t="s">
        <v>213</v>
      </c>
      <c r="J12" s="165" t="s">
        <v>213</v>
      </c>
      <c r="K12" s="165" t="s">
        <v>213</v>
      </c>
      <c r="L12" s="162">
        <v>50000000</v>
      </c>
      <c r="M12" s="176">
        <v>5</v>
      </c>
      <c r="N12" s="162">
        <v>25000000</v>
      </c>
      <c r="O12" s="164">
        <v>2.5</v>
      </c>
      <c r="P12" s="160"/>
      <c r="Q12" s="174"/>
      <c r="R12" s="177">
        <v>5</v>
      </c>
      <c r="S12" s="166"/>
      <c r="T12" s="166"/>
      <c r="U12" s="166"/>
      <c r="V12" s="166"/>
    </row>
    <row r="13" spans="1:22">
      <c r="A13" s="178" t="s">
        <v>224</v>
      </c>
      <c r="B13" s="179" t="s">
        <v>225</v>
      </c>
      <c r="C13" s="180">
        <v>233006082</v>
      </c>
      <c r="D13" s="180">
        <v>233006082</v>
      </c>
      <c r="E13" s="180">
        <v>226015900</v>
      </c>
      <c r="F13" s="180">
        <v>23</v>
      </c>
      <c r="G13" s="181">
        <v>0</v>
      </c>
      <c r="H13" s="179">
        <v>226015899.5</v>
      </c>
      <c r="I13" s="180">
        <v>23</v>
      </c>
      <c r="J13" s="180">
        <v>94731236</v>
      </c>
      <c r="K13" s="182">
        <v>9.4700000000000006</v>
      </c>
      <c r="L13" s="180">
        <v>131284664</v>
      </c>
      <c r="M13" s="182">
        <v>13.13</v>
      </c>
      <c r="N13" s="179" t="s">
        <v>213</v>
      </c>
      <c r="O13" s="179" t="s">
        <v>213</v>
      </c>
      <c r="P13" s="179" t="s">
        <v>225</v>
      </c>
      <c r="Q13" s="179"/>
      <c r="R13" s="165"/>
      <c r="S13" s="166" t="s">
        <v>226</v>
      </c>
      <c r="T13" s="166">
        <v>74465410</v>
      </c>
      <c r="U13" s="166" t="s">
        <v>227</v>
      </c>
      <c r="V13" s="166">
        <v>83.668999999999997</v>
      </c>
    </row>
    <row r="14" spans="1:22">
      <c r="A14" s="299" t="s">
        <v>10</v>
      </c>
      <c r="B14" s="179" t="s">
        <v>228</v>
      </c>
      <c r="C14" s="180">
        <v>100000000</v>
      </c>
      <c r="D14" s="180">
        <v>100000000</v>
      </c>
      <c r="E14" s="180">
        <v>97000000</v>
      </c>
      <c r="F14" s="180">
        <v>10</v>
      </c>
      <c r="G14" s="180">
        <v>9050000</v>
      </c>
      <c r="H14" s="179">
        <v>106050000</v>
      </c>
      <c r="I14" s="180">
        <v>11</v>
      </c>
      <c r="J14" s="180">
        <v>107266590</v>
      </c>
      <c r="K14" s="182">
        <v>10.73</v>
      </c>
      <c r="L14" s="180">
        <v>-1216590</v>
      </c>
      <c r="M14" s="179"/>
      <c r="N14" s="179" t="s">
        <v>213</v>
      </c>
      <c r="O14" s="179" t="s">
        <v>213</v>
      </c>
      <c r="P14" s="179" t="s">
        <v>228</v>
      </c>
      <c r="Q14" s="179"/>
      <c r="R14" s="165"/>
      <c r="S14" s="166"/>
      <c r="T14" s="166"/>
      <c r="U14" s="166"/>
      <c r="V14" s="166"/>
    </row>
    <row r="15" spans="1:22">
      <c r="A15" s="300"/>
      <c r="B15" s="302" t="s">
        <v>229</v>
      </c>
      <c r="C15" s="304">
        <v>60000000</v>
      </c>
      <c r="D15" s="304">
        <v>60000000</v>
      </c>
      <c r="E15" s="304">
        <v>58200000</v>
      </c>
      <c r="F15" s="304">
        <v>6</v>
      </c>
      <c r="G15" s="304">
        <v>3977290</v>
      </c>
      <c r="H15" s="307">
        <v>62177290</v>
      </c>
      <c r="I15" s="304">
        <v>6</v>
      </c>
      <c r="J15" s="304">
        <v>58610000</v>
      </c>
      <c r="K15" s="309">
        <v>5.86</v>
      </c>
      <c r="L15" s="304">
        <v>3567290</v>
      </c>
      <c r="M15" s="307"/>
      <c r="N15" s="307" t="s">
        <v>213</v>
      </c>
      <c r="O15" s="307" t="s">
        <v>213</v>
      </c>
      <c r="P15" s="183" t="s">
        <v>229</v>
      </c>
      <c r="Q15" s="307"/>
      <c r="R15" s="313"/>
      <c r="S15" s="311"/>
      <c r="T15" s="312"/>
      <c r="U15" s="312"/>
      <c r="V15" s="312"/>
    </row>
    <row r="16" spans="1:22" ht="130.5">
      <c r="A16" s="301"/>
      <c r="B16" s="303"/>
      <c r="C16" s="305"/>
      <c r="D16" s="305"/>
      <c r="E16" s="305"/>
      <c r="F16" s="305"/>
      <c r="G16" s="305"/>
      <c r="H16" s="308"/>
      <c r="I16" s="305"/>
      <c r="J16" s="305"/>
      <c r="K16" s="310"/>
      <c r="L16" s="305"/>
      <c r="M16" s="308"/>
      <c r="N16" s="308"/>
      <c r="O16" s="308"/>
      <c r="P16" s="184" t="s">
        <v>230</v>
      </c>
      <c r="Q16" s="308"/>
      <c r="R16" s="314"/>
      <c r="S16" s="311"/>
      <c r="T16" s="312"/>
      <c r="U16" s="312"/>
      <c r="V16" s="312"/>
    </row>
    <row r="17" spans="1:22">
      <c r="A17" s="274" t="s">
        <v>231</v>
      </c>
      <c r="B17" s="161" t="s">
        <v>232</v>
      </c>
      <c r="C17" s="162">
        <v>100000000</v>
      </c>
      <c r="D17" s="162">
        <v>10000000</v>
      </c>
      <c r="E17" s="162">
        <v>9700000</v>
      </c>
      <c r="F17" s="162">
        <v>1</v>
      </c>
      <c r="G17" s="185">
        <v>0</v>
      </c>
      <c r="H17" s="162">
        <v>9700000</v>
      </c>
      <c r="I17" s="163">
        <v>1</v>
      </c>
      <c r="J17" s="165" t="s">
        <v>213</v>
      </c>
      <c r="K17" s="167" t="s">
        <v>213</v>
      </c>
      <c r="L17" s="162">
        <v>9700000</v>
      </c>
      <c r="M17" s="163">
        <v>1</v>
      </c>
      <c r="N17" s="162">
        <v>90000000</v>
      </c>
      <c r="O17" s="164">
        <v>9</v>
      </c>
      <c r="P17" s="161" t="s">
        <v>232</v>
      </c>
      <c r="Q17" s="165"/>
      <c r="R17" s="165"/>
      <c r="S17" s="166"/>
      <c r="T17" s="166"/>
      <c r="U17" s="166"/>
      <c r="V17" s="166"/>
    </row>
    <row r="18" spans="1:22">
      <c r="A18" s="275"/>
      <c r="B18" s="161" t="s">
        <v>233</v>
      </c>
      <c r="C18" s="162">
        <v>75000000</v>
      </c>
      <c r="D18" s="162">
        <v>75000000</v>
      </c>
      <c r="E18" s="162">
        <v>67500000</v>
      </c>
      <c r="F18" s="162">
        <v>7</v>
      </c>
      <c r="G18" s="185">
        <v>0</v>
      </c>
      <c r="H18" s="162">
        <v>67500000</v>
      </c>
      <c r="I18" s="163">
        <v>7</v>
      </c>
      <c r="J18" s="165" t="s">
        <v>213</v>
      </c>
      <c r="K18" s="167" t="s">
        <v>213</v>
      </c>
      <c r="L18" s="162">
        <v>67500000</v>
      </c>
      <c r="M18" s="164">
        <v>6.75</v>
      </c>
      <c r="N18" s="165" t="s">
        <v>213</v>
      </c>
      <c r="O18" s="167" t="s">
        <v>213</v>
      </c>
      <c r="P18" s="161" t="s">
        <v>233</v>
      </c>
      <c r="Q18" s="165"/>
      <c r="R18" s="165"/>
      <c r="S18" s="166"/>
      <c r="T18" s="166"/>
      <c r="U18" s="166"/>
      <c r="V18" s="166"/>
    </row>
    <row r="19" spans="1:22" ht="43.5">
      <c r="A19" s="186" t="s">
        <v>234</v>
      </c>
      <c r="B19" s="187" t="s">
        <v>235</v>
      </c>
      <c r="C19" s="162">
        <v>1000000000</v>
      </c>
      <c r="D19" s="162">
        <v>199456320</v>
      </c>
      <c r="E19" s="162">
        <v>199456320</v>
      </c>
      <c r="F19" s="162">
        <v>20</v>
      </c>
      <c r="G19" s="162">
        <v>8327301</v>
      </c>
      <c r="H19" s="162">
        <v>207783621</v>
      </c>
      <c r="I19" s="163">
        <v>21</v>
      </c>
      <c r="J19" s="165" t="s">
        <v>213</v>
      </c>
      <c r="K19" s="167" t="s">
        <v>213</v>
      </c>
      <c r="L19" s="162">
        <v>207783621</v>
      </c>
      <c r="M19" s="164">
        <v>20.78</v>
      </c>
      <c r="N19" s="162">
        <v>800543680</v>
      </c>
      <c r="O19" s="164">
        <v>80.05</v>
      </c>
      <c r="P19" s="187" t="s">
        <v>235</v>
      </c>
      <c r="Q19" s="165"/>
      <c r="R19" s="165"/>
      <c r="S19" s="166"/>
      <c r="T19" s="166"/>
      <c r="U19" s="166"/>
      <c r="V19" s="166"/>
    </row>
    <row r="20" spans="1:22" ht="43.5">
      <c r="A20" s="274" t="s">
        <v>236</v>
      </c>
      <c r="B20" s="188" t="s">
        <v>237</v>
      </c>
      <c r="C20" s="162">
        <v>800000000</v>
      </c>
      <c r="D20" s="162">
        <v>800000000</v>
      </c>
      <c r="E20" s="162">
        <v>800000000</v>
      </c>
      <c r="F20" s="162">
        <v>80</v>
      </c>
      <c r="G20" s="185">
        <v>0</v>
      </c>
      <c r="H20" s="162">
        <v>800000000</v>
      </c>
      <c r="I20" s="163">
        <v>80</v>
      </c>
      <c r="J20" s="162">
        <v>34600000</v>
      </c>
      <c r="K20" s="164">
        <v>3.46</v>
      </c>
      <c r="L20" s="162">
        <v>765400000</v>
      </c>
      <c r="M20" s="164">
        <v>76.540000000000006</v>
      </c>
      <c r="N20" s="165" t="s">
        <v>213</v>
      </c>
      <c r="O20" s="167" t="s">
        <v>213</v>
      </c>
      <c r="P20" s="170" t="s">
        <v>236</v>
      </c>
      <c r="Q20" s="165"/>
      <c r="R20" s="165"/>
      <c r="S20" s="166"/>
      <c r="T20" s="166"/>
      <c r="U20" s="166"/>
      <c r="V20" s="166"/>
    </row>
    <row r="21" spans="1:22" ht="29.1">
      <c r="A21" s="306"/>
      <c r="B21" s="187" t="s">
        <v>238</v>
      </c>
      <c r="C21" s="162">
        <v>120000000</v>
      </c>
      <c r="D21" s="162">
        <v>120000000</v>
      </c>
      <c r="E21" s="162">
        <v>120000000</v>
      </c>
      <c r="F21" s="162">
        <v>12</v>
      </c>
      <c r="G21" s="185"/>
      <c r="H21" s="162">
        <v>120000000</v>
      </c>
      <c r="I21" s="163">
        <v>12</v>
      </c>
      <c r="J21" s="162">
        <v>120000000</v>
      </c>
      <c r="K21" s="164">
        <v>12</v>
      </c>
      <c r="L21" s="165" t="s">
        <v>213</v>
      </c>
      <c r="M21" s="167" t="s">
        <v>213</v>
      </c>
      <c r="N21" s="165" t="s">
        <v>213</v>
      </c>
      <c r="O21" s="167" t="s">
        <v>213</v>
      </c>
      <c r="P21" s="170" t="s">
        <v>238</v>
      </c>
      <c r="Q21" s="165"/>
      <c r="R21" s="165"/>
      <c r="S21" s="166"/>
      <c r="T21" s="166"/>
      <c r="U21" s="166"/>
      <c r="V21" s="166"/>
    </row>
    <row r="22" spans="1:22">
      <c r="A22" s="189"/>
      <c r="B22" s="187" t="s">
        <v>239</v>
      </c>
      <c r="C22" s="162">
        <v>890000000</v>
      </c>
      <c r="D22" s="165"/>
      <c r="E22" s="165"/>
      <c r="F22" s="165"/>
      <c r="G22" s="185"/>
      <c r="H22" s="165"/>
      <c r="I22" s="167"/>
      <c r="J22" s="165"/>
      <c r="K22" s="167"/>
      <c r="L22" s="165"/>
      <c r="M22" s="167"/>
      <c r="N22" s="162">
        <v>890000000</v>
      </c>
      <c r="O22" s="164">
        <v>89</v>
      </c>
      <c r="P22" s="170"/>
      <c r="Q22" s="165"/>
      <c r="R22" s="165"/>
      <c r="S22" s="166"/>
      <c r="T22" s="166"/>
      <c r="U22" s="166"/>
      <c r="V22" s="166"/>
    </row>
    <row r="23" spans="1:22">
      <c r="A23" s="274" t="s">
        <v>240</v>
      </c>
      <c r="B23" s="161" t="s">
        <v>241</v>
      </c>
      <c r="C23" s="162">
        <v>50000000</v>
      </c>
      <c r="D23" s="162">
        <v>10000000</v>
      </c>
      <c r="E23" s="162">
        <v>9700000</v>
      </c>
      <c r="F23" s="162">
        <v>1</v>
      </c>
      <c r="G23" s="185">
        <v>0</v>
      </c>
      <c r="H23" s="162">
        <v>9700000</v>
      </c>
      <c r="I23" s="163">
        <v>1</v>
      </c>
      <c r="J23" s="165" t="s">
        <v>213</v>
      </c>
      <c r="K23" s="167" t="s">
        <v>213</v>
      </c>
      <c r="L23" s="162">
        <v>9700000</v>
      </c>
      <c r="M23" s="164">
        <v>0.97</v>
      </c>
      <c r="N23" s="162">
        <v>40000000</v>
      </c>
      <c r="O23" s="164">
        <v>4</v>
      </c>
      <c r="P23" s="170" t="s">
        <v>240</v>
      </c>
      <c r="Q23" s="165"/>
      <c r="R23" s="165"/>
      <c r="S23" s="166"/>
      <c r="T23" s="166"/>
      <c r="U23" s="166"/>
      <c r="V23" s="166"/>
    </row>
    <row r="24" spans="1:22">
      <c r="A24" s="275"/>
      <c r="B24" s="161" t="s">
        <v>242</v>
      </c>
      <c r="C24" s="173">
        <v>900000000</v>
      </c>
      <c r="D24" s="174" t="s">
        <v>213</v>
      </c>
      <c r="E24" s="174"/>
      <c r="F24" s="165" t="s">
        <v>213</v>
      </c>
      <c r="G24" s="174"/>
      <c r="H24" s="165" t="s">
        <v>213</v>
      </c>
      <c r="I24" s="175" t="s">
        <v>213</v>
      </c>
      <c r="J24" s="174" t="s">
        <v>213</v>
      </c>
      <c r="K24" s="175" t="s">
        <v>213</v>
      </c>
      <c r="L24" s="165" t="s">
        <v>213</v>
      </c>
      <c r="M24" s="175" t="s">
        <v>213</v>
      </c>
      <c r="N24" s="162">
        <v>900000000</v>
      </c>
      <c r="O24" s="164">
        <v>90</v>
      </c>
      <c r="P24" s="160" t="s">
        <v>38</v>
      </c>
      <c r="Q24" s="174"/>
      <c r="R24" s="174"/>
      <c r="S24" s="166"/>
      <c r="T24" s="166"/>
      <c r="U24" s="166"/>
      <c r="V24" s="166"/>
    </row>
    <row r="25" spans="1:22" ht="29.1">
      <c r="A25" s="170" t="s">
        <v>135</v>
      </c>
      <c r="B25" s="161" t="s">
        <v>243</v>
      </c>
      <c r="C25" s="162">
        <v>250000000</v>
      </c>
      <c r="D25" s="162">
        <v>250000000</v>
      </c>
      <c r="E25" s="162">
        <v>250000000</v>
      </c>
      <c r="F25" s="162">
        <v>25</v>
      </c>
      <c r="G25" s="165"/>
      <c r="H25" s="162">
        <v>250000000</v>
      </c>
      <c r="I25" s="163">
        <v>25</v>
      </c>
      <c r="J25" s="162">
        <v>87505404</v>
      </c>
      <c r="K25" s="164">
        <v>8.75</v>
      </c>
      <c r="L25" s="162">
        <v>162494596</v>
      </c>
      <c r="M25" s="164">
        <v>16.25</v>
      </c>
      <c r="N25" s="165" t="s">
        <v>213</v>
      </c>
      <c r="O25" s="167" t="s">
        <v>213</v>
      </c>
      <c r="P25" s="170" t="s">
        <v>135</v>
      </c>
      <c r="Q25" s="165"/>
      <c r="R25" s="165"/>
      <c r="S25" s="166"/>
      <c r="T25" s="166"/>
      <c r="U25" s="166"/>
      <c r="V25" s="166"/>
    </row>
    <row r="26" spans="1:22" ht="29.1">
      <c r="A26" s="160" t="s">
        <v>244</v>
      </c>
      <c r="B26" s="172" t="s">
        <v>56</v>
      </c>
      <c r="C26" s="173">
        <v>75000000</v>
      </c>
      <c r="D26" s="173">
        <v>37391615</v>
      </c>
      <c r="E26" s="162">
        <v>36269867</v>
      </c>
      <c r="F26" s="162">
        <v>4</v>
      </c>
      <c r="G26" s="174"/>
      <c r="H26" s="162">
        <v>36269867</v>
      </c>
      <c r="I26" s="190">
        <v>4</v>
      </c>
      <c r="J26" s="174" t="s">
        <v>213</v>
      </c>
      <c r="K26" s="175" t="s">
        <v>213</v>
      </c>
      <c r="L26" s="162">
        <v>36269867</v>
      </c>
      <c r="M26" s="176">
        <v>3.63</v>
      </c>
      <c r="N26" s="162">
        <v>37608385</v>
      </c>
      <c r="O26" s="164">
        <v>3.76</v>
      </c>
      <c r="P26" s="160" t="s">
        <v>56</v>
      </c>
      <c r="Q26" s="174"/>
      <c r="R26" s="174"/>
      <c r="S26" s="166"/>
      <c r="T26" s="166"/>
      <c r="U26" s="166"/>
      <c r="V26" s="166"/>
    </row>
    <row r="27" spans="1:22">
      <c r="A27" s="160" t="s">
        <v>36</v>
      </c>
      <c r="B27" s="172" t="s">
        <v>245</v>
      </c>
      <c r="C27" s="173">
        <v>643293750</v>
      </c>
      <c r="D27" s="174" t="s">
        <v>213</v>
      </c>
      <c r="E27" s="174"/>
      <c r="F27" s="165" t="s">
        <v>213</v>
      </c>
      <c r="G27" s="174"/>
      <c r="H27" s="165" t="s">
        <v>213</v>
      </c>
      <c r="I27" s="175" t="s">
        <v>213</v>
      </c>
      <c r="J27" s="174" t="s">
        <v>213</v>
      </c>
      <c r="K27" s="175" t="s">
        <v>213</v>
      </c>
      <c r="L27" s="165" t="s">
        <v>213</v>
      </c>
      <c r="M27" s="175" t="s">
        <v>213</v>
      </c>
      <c r="N27" s="162">
        <v>643293750</v>
      </c>
      <c r="O27" s="164">
        <v>64.33</v>
      </c>
      <c r="P27" s="160" t="s">
        <v>36</v>
      </c>
      <c r="Q27" s="174"/>
      <c r="R27" s="174"/>
      <c r="S27" s="166"/>
      <c r="T27" s="166"/>
      <c r="U27" s="166"/>
      <c r="V27" s="166"/>
    </row>
    <row r="28" spans="1:22" ht="29.45" thickBot="1">
      <c r="A28" s="170" t="s">
        <v>246</v>
      </c>
      <c r="B28" s="172"/>
      <c r="C28" s="191">
        <v>142700000</v>
      </c>
      <c r="D28" s="173">
        <v>82600000</v>
      </c>
      <c r="E28" s="173">
        <v>82600000</v>
      </c>
      <c r="F28" s="173">
        <v>8</v>
      </c>
      <c r="G28" s="174"/>
      <c r="H28" s="173">
        <v>82600000</v>
      </c>
      <c r="I28" s="190">
        <v>8</v>
      </c>
      <c r="J28" s="173">
        <v>82600000</v>
      </c>
      <c r="K28" s="176">
        <v>8.26</v>
      </c>
      <c r="L28" s="174" t="s">
        <v>213</v>
      </c>
      <c r="M28" s="175" t="s">
        <v>213</v>
      </c>
      <c r="N28" s="173">
        <v>60100000</v>
      </c>
      <c r="O28" s="176">
        <v>6.01</v>
      </c>
      <c r="P28" s="160" t="s">
        <v>246</v>
      </c>
      <c r="Q28" s="174"/>
      <c r="R28" s="174"/>
      <c r="S28" s="166"/>
      <c r="T28" s="166"/>
      <c r="U28" s="166"/>
      <c r="V28" s="166"/>
    </row>
    <row r="29" spans="1:22" ht="15.95" thickBot="1">
      <c r="A29" s="192"/>
      <c r="B29" s="192"/>
      <c r="C29" s="193">
        <v>8163579832</v>
      </c>
      <c r="D29" s="193">
        <v>3016353020</v>
      </c>
      <c r="E29" s="193">
        <v>2957012089</v>
      </c>
      <c r="F29" s="193">
        <v>296</v>
      </c>
      <c r="G29" s="193">
        <v>35493014</v>
      </c>
      <c r="H29" s="193">
        <v>2992505103</v>
      </c>
      <c r="I29" s="193">
        <v>294</v>
      </c>
      <c r="J29" s="193">
        <v>764155957</v>
      </c>
      <c r="K29" s="193">
        <v>76</v>
      </c>
      <c r="L29" s="193">
        <v>2228349146</v>
      </c>
      <c r="M29" s="193">
        <v>223</v>
      </c>
      <c r="N29" s="193">
        <v>5147226812</v>
      </c>
      <c r="O29" s="193">
        <v>515</v>
      </c>
      <c r="P29" s="192" t="s">
        <v>213</v>
      </c>
      <c r="Q29" s="192" t="s">
        <v>213</v>
      </c>
      <c r="R29" s="193">
        <v>30</v>
      </c>
      <c r="S29" s="194" t="s">
        <v>213</v>
      </c>
      <c r="T29" s="195">
        <v>74465410</v>
      </c>
      <c r="U29" s="196"/>
      <c r="V29" s="196"/>
    </row>
    <row r="30" spans="1:22">
      <c r="A30" s="166"/>
      <c r="B30" s="166"/>
      <c r="C30" s="166"/>
      <c r="D30" s="197">
        <v>301.64</v>
      </c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</row>
    <row r="31" spans="1:22">
      <c r="A31" s="166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97">
        <v>545.72</v>
      </c>
      <c r="P31" s="166"/>
      <c r="Q31" s="166"/>
      <c r="R31" s="166"/>
      <c r="S31" s="166"/>
      <c r="T31" s="166"/>
      <c r="U31" s="166"/>
      <c r="V31" s="166"/>
    </row>
    <row r="32" spans="1:22" ht="39">
      <c r="A32" s="317" t="s">
        <v>247</v>
      </c>
      <c r="B32" s="318"/>
      <c r="C32" s="198" t="s">
        <v>97</v>
      </c>
      <c r="D32" s="288" t="s">
        <v>194</v>
      </c>
      <c r="E32" s="199" t="s">
        <v>248</v>
      </c>
      <c r="F32" s="321" t="s">
        <v>201</v>
      </c>
      <c r="G32" s="155" t="s">
        <v>204</v>
      </c>
      <c r="H32" s="200" t="s">
        <v>205</v>
      </c>
      <c r="I32" s="156" t="s">
        <v>249</v>
      </c>
      <c r="J32" s="201"/>
      <c r="K32" s="202"/>
      <c r="L32" s="203"/>
      <c r="M32" s="203"/>
      <c r="N32" s="203"/>
      <c r="O32" s="203"/>
      <c r="P32" s="202"/>
      <c r="Q32" s="202"/>
      <c r="R32" s="202"/>
      <c r="S32" s="202"/>
      <c r="T32" s="202"/>
      <c r="U32" s="202"/>
      <c r="V32" s="202"/>
    </row>
    <row r="33" spans="1:22" ht="21">
      <c r="A33" s="319"/>
      <c r="B33" s="320"/>
      <c r="C33" s="204" t="s">
        <v>209</v>
      </c>
      <c r="D33" s="289"/>
      <c r="E33" s="155"/>
      <c r="F33" s="322"/>
      <c r="G33" s="158"/>
      <c r="H33" s="205"/>
      <c r="I33" s="159"/>
      <c r="J33" s="206"/>
      <c r="K33" s="202"/>
      <c r="L33" s="203"/>
      <c r="M33" s="203"/>
      <c r="N33" s="203"/>
      <c r="O33" s="203"/>
      <c r="P33" s="202"/>
      <c r="Q33" s="202"/>
      <c r="R33" s="202"/>
      <c r="S33" s="202"/>
      <c r="T33" s="202"/>
      <c r="U33" s="202"/>
      <c r="V33" s="202"/>
    </row>
    <row r="34" spans="1:22">
      <c r="A34" s="315" t="s">
        <v>58</v>
      </c>
      <c r="B34" s="316"/>
      <c r="C34" s="173">
        <v>66000000</v>
      </c>
      <c r="D34" s="173">
        <v>66000000</v>
      </c>
      <c r="E34" s="177">
        <v>6.6</v>
      </c>
      <c r="F34" s="177">
        <v>1.6</v>
      </c>
      <c r="G34" s="207" t="s">
        <v>213</v>
      </c>
      <c r="H34" s="208" t="s">
        <v>213</v>
      </c>
      <c r="I34" s="172"/>
      <c r="J34" s="209"/>
      <c r="K34" s="202"/>
      <c r="L34" s="203"/>
      <c r="M34" s="203"/>
      <c r="N34" s="203"/>
      <c r="O34" s="203"/>
      <c r="P34" s="202"/>
      <c r="Q34" s="202"/>
      <c r="R34" s="202"/>
      <c r="S34" s="202"/>
      <c r="T34" s="202"/>
      <c r="U34" s="202"/>
      <c r="V34" s="202"/>
    </row>
    <row r="35" spans="1:22">
      <c r="A35" s="323" t="s">
        <v>60</v>
      </c>
      <c r="B35" s="324"/>
      <c r="C35" s="162">
        <v>14000000</v>
      </c>
      <c r="D35" s="162">
        <v>14000000</v>
      </c>
      <c r="E35" s="171">
        <v>1.4</v>
      </c>
      <c r="F35" s="174" t="s">
        <v>213</v>
      </c>
      <c r="G35" s="207" t="s">
        <v>213</v>
      </c>
      <c r="H35" s="210" t="s">
        <v>213</v>
      </c>
      <c r="I35" s="161"/>
      <c r="J35" s="161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</row>
    <row r="36" spans="1:22">
      <c r="A36" s="323" t="s">
        <v>62</v>
      </c>
      <c r="B36" s="324"/>
      <c r="C36" s="211">
        <v>37500000</v>
      </c>
      <c r="D36" s="211">
        <v>37500000</v>
      </c>
      <c r="E36" s="212">
        <v>3.75</v>
      </c>
      <c r="F36" s="177">
        <v>3.63</v>
      </c>
      <c r="G36" s="207" t="s">
        <v>213</v>
      </c>
      <c r="H36" s="213" t="s">
        <v>213</v>
      </c>
      <c r="I36" s="214"/>
      <c r="J36" s="215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</row>
    <row r="37" spans="1:22" ht="15" thickBot="1">
      <c r="A37" s="323" t="s">
        <v>64</v>
      </c>
      <c r="B37" s="324"/>
      <c r="C37" s="162">
        <v>9000000</v>
      </c>
      <c r="D37" s="162">
        <v>9000000</v>
      </c>
      <c r="E37" s="171">
        <v>0.9</v>
      </c>
      <c r="F37" s="174" t="s">
        <v>213</v>
      </c>
      <c r="G37" s="207" t="s">
        <v>213</v>
      </c>
      <c r="H37" s="216" t="s">
        <v>213</v>
      </c>
      <c r="I37" s="161"/>
      <c r="J37" s="217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</row>
    <row r="38" spans="1:22" ht="18.95" thickBot="1">
      <c r="A38" s="323" t="s">
        <v>66</v>
      </c>
      <c r="B38" s="324"/>
      <c r="C38" s="162">
        <v>20000000</v>
      </c>
      <c r="D38" s="162">
        <v>10800000</v>
      </c>
      <c r="E38" s="171">
        <v>1.08</v>
      </c>
      <c r="F38" s="174" t="s">
        <v>213</v>
      </c>
      <c r="G38" s="218">
        <v>9200000</v>
      </c>
      <c r="H38" s="219">
        <v>0.92</v>
      </c>
      <c r="I38" s="161"/>
      <c r="J38" s="220"/>
      <c r="K38" s="221"/>
      <c r="L38" s="222">
        <v>9200000</v>
      </c>
      <c r="M38" s="202"/>
      <c r="N38" s="202"/>
      <c r="O38" s="202"/>
      <c r="P38" s="202"/>
      <c r="Q38" s="202"/>
      <c r="R38" s="202"/>
      <c r="S38" s="202"/>
      <c r="T38" s="202"/>
      <c r="U38" s="202"/>
      <c r="V38" s="202"/>
    </row>
    <row r="39" spans="1:22" ht="18.95" thickBot="1">
      <c r="A39" s="325" t="s">
        <v>68</v>
      </c>
      <c r="B39" s="326"/>
      <c r="C39" s="191">
        <v>7500000</v>
      </c>
      <c r="D39" s="173">
        <v>6750000</v>
      </c>
      <c r="E39" s="177">
        <v>0.68</v>
      </c>
      <c r="F39" s="177">
        <v>0.67</v>
      </c>
      <c r="G39" s="218">
        <v>750000</v>
      </c>
      <c r="H39" s="208" t="s">
        <v>213</v>
      </c>
      <c r="I39" s="172"/>
      <c r="J39" s="220"/>
      <c r="K39" s="221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</row>
    <row r="40" spans="1:22" ht="18.95" thickBot="1">
      <c r="A40" s="325" t="s">
        <v>70</v>
      </c>
      <c r="B40" s="326"/>
      <c r="C40" s="225">
        <v>416450000</v>
      </c>
      <c r="D40" s="162">
        <v>340700000</v>
      </c>
      <c r="E40" s="171">
        <v>34.07</v>
      </c>
      <c r="F40" s="177">
        <v>16.670000000000002</v>
      </c>
      <c r="G40" s="218">
        <v>75750000</v>
      </c>
      <c r="H40" s="226">
        <v>7.58</v>
      </c>
      <c r="I40" s="161"/>
      <c r="J40" s="220"/>
      <c r="K40" s="221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</row>
    <row r="41" spans="1:22" ht="18.95" thickBot="1">
      <c r="A41" s="315" t="s">
        <v>72</v>
      </c>
      <c r="B41" s="316"/>
      <c r="C41" s="227">
        <v>75000000</v>
      </c>
      <c r="D41" s="211">
        <v>17460000</v>
      </c>
      <c r="E41" s="212">
        <v>1.75</v>
      </c>
      <c r="F41" s="177">
        <v>1.74</v>
      </c>
      <c r="G41" s="218">
        <v>57540000</v>
      </c>
      <c r="H41" s="228">
        <v>5.75</v>
      </c>
      <c r="I41" s="229">
        <v>4365000</v>
      </c>
      <c r="J41" s="230">
        <v>4365000</v>
      </c>
      <c r="K41" s="221"/>
      <c r="L41" s="222">
        <v>13580000</v>
      </c>
      <c r="M41" s="202"/>
      <c r="N41" s="202"/>
      <c r="O41" s="202"/>
      <c r="P41" s="202"/>
      <c r="Q41" s="202"/>
      <c r="R41" s="202"/>
      <c r="S41" s="202"/>
      <c r="T41" s="202"/>
      <c r="U41" s="202"/>
      <c r="V41" s="202"/>
    </row>
    <row r="42" spans="1:22" ht="18.95" thickBot="1">
      <c r="A42" s="325" t="s">
        <v>74</v>
      </c>
      <c r="B42" s="326"/>
      <c r="C42" s="191">
        <v>20000000</v>
      </c>
      <c r="D42" s="173">
        <v>16000000</v>
      </c>
      <c r="E42" s="177">
        <v>1.6</v>
      </c>
      <c r="F42" s="177">
        <v>0.9</v>
      </c>
      <c r="G42" s="207"/>
      <c r="H42" s="208" t="s">
        <v>213</v>
      </c>
      <c r="I42" s="231">
        <v>-6000000</v>
      </c>
      <c r="J42" s="220"/>
      <c r="K42" s="221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</row>
    <row r="43" spans="1:22" ht="18.95" thickBot="1">
      <c r="A43" s="315" t="s">
        <v>76</v>
      </c>
      <c r="B43" s="316"/>
      <c r="C43" s="191">
        <v>17568600</v>
      </c>
      <c r="D43" s="173">
        <v>18474100</v>
      </c>
      <c r="E43" s="177">
        <v>1.85</v>
      </c>
      <c r="F43" s="177">
        <v>0.87</v>
      </c>
      <c r="G43" s="207" t="s">
        <v>213</v>
      </c>
      <c r="H43" s="208" t="s">
        <v>213</v>
      </c>
      <c r="I43" s="161"/>
      <c r="J43" s="220"/>
      <c r="K43" s="221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</row>
    <row r="44" spans="1:22" ht="18.95" thickBot="1">
      <c r="A44" s="325" t="s">
        <v>78</v>
      </c>
      <c r="B44" s="326"/>
      <c r="C44" s="191">
        <v>15000000</v>
      </c>
      <c r="D44" s="173">
        <v>7500000</v>
      </c>
      <c r="E44" s="177">
        <v>0.75</v>
      </c>
      <c r="F44" s="174" t="s">
        <v>213</v>
      </c>
      <c r="G44" s="232">
        <v>7500000</v>
      </c>
      <c r="H44" s="233">
        <v>0.75</v>
      </c>
      <c r="I44" s="161"/>
      <c r="J44" s="220"/>
      <c r="K44" s="221"/>
      <c r="L44" s="222">
        <v>7500000</v>
      </c>
      <c r="M44" s="202"/>
      <c r="N44" s="202"/>
      <c r="O44" s="202"/>
      <c r="P44" s="202"/>
      <c r="Q44" s="202"/>
      <c r="R44" s="202"/>
      <c r="S44" s="202"/>
      <c r="T44" s="202"/>
      <c r="U44" s="202"/>
      <c r="V44" s="202"/>
    </row>
    <row r="45" spans="1:22" ht="18.95" thickBot="1">
      <c r="A45" s="325" t="s">
        <v>80</v>
      </c>
      <c r="B45" s="326"/>
      <c r="C45" s="191">
        <v>120000000</v>
      </c>
      <c r="D45" s="232">
        <v>18000000</v>
      </c>
      <c r="E45" s="177">
        <v>1.8</v>
      </c>
      <c r="F45" s="174" t="s">
        <v>213</v>
      </c>
      <c r="G45" s="162">
        <v>102000000</v>
      </c>
      <c r="H45" s="234">
        <v>10.199999999999999</v>
      </c>
      <c r="I45" s="235"/>
      <c r="J45" s="220"/>
      <c r="K45" s="221"/>
      <c r="L45" s="222">
        <v>18000000</v>
      </c>
      <c r="M45" s="202"/>
      <c r="N45" s="202"/>
      <c r="O45" s="202"/>
      <c r="P45" s="202"/>
      <c r="Q45" s="202"/>
      <c r="R45" s="202"/>
      <c r="S45" s="202"/>
      <c r="T45" s="202"/>
      <c r="U45" s="202"/>
      <c r="V45" s="202"/>
    </row>
    <row r="46" spans="1:22" ht="18.95" thickBot="1">
      <c r="A46" s="325" t="s">
        <v>82</v>
      </c>
      <c r="B46" s="326"/>
      <c r="C46" s="191">
        <v>12000000</v>
      </c>
      <c r="D46" s="236">
        <v>4000000</v>
      </c>
      <c r="E46" s="177">
        <v>0.4</v>
      </c>
      <c r="F46" s="174" t="s">
        <v>213</v>
      </c>
      <c r="G46" s="162">
        <v>8000000</v>
      </c>
      <c r="H46" s="234">
        <v>0.8</v>
      </c>
      <c r="I46" s="235"/>
      <c r="J46" s="237"/>
      <c r="K46" s="221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</row>
    <row r="47" spans="1:22" ht="18.95" thickBot="1">
      <c r="A47" s="325" t="s">
        <v>84</v>
      </c>
      <c r="B47" s="326"/>
      <c r="C47" s="191">
        <v>15000000</v>
      </c>
      <c r="D47" s="236">
        <v>1600000</v>
      </c>
      <c r="E47" s="177">
        <v>0.16</v>
      </c>
      <c r="F47" s="174" t="s">
        <v>213</v>
      </c>
      <c r="G47" s="162">
        <v>13400000</v>
      </c>
      <c r="H47" s="234">
        <v>1.34</v>
      </c>
      <c r="I47" s="161"/>
      <c r="J47" s="237"/>
      <c r="K47" s="221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</row>
    <row r="48" spans="1:22" ht="18.95" thickBot="1">
      <c r="A48" s="325" t="s">
        <v>86</v>
      </c>
      <c r="B48" s="326"/>
      <c r="C48" s="191">
        <v>175000000</v>
      </c>
      <c r="D48" s="236">
        <v>169750000</v>
      </c>
      <c r="E48" s="238">
        <v>16.98</v>
      </c>
      <c r="F48" s="165" t="s">
        <v>213</v>
      </c>
      <c r="G48" s="239" t="s">
        <v>213</v>
      </c>
      <c r="H48" s="240" t="s">
        <v>213</v>
      </c>
      <c r="I48" s="241"/>
      <c r="J48" s="237"/>
      <c r="K48" s="221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</row>
    <row r="49" spans="1:22" ht="18.600000000000001">
      <c r="A49" s="223" t="s">
        <v>88</v>
      </c>
      <c r="B49" s="224"/>
      <c r="C49" s="191">
        <v>15000000</v>
      </c>
      <c r="D49" s="236">
        <v>5000000</v>
      </c>
      <c r="E49" s="238">
        <v>0.5</v>
      </c>
      <c r="F49" s="207" t="s">
        <v>213</v>
      </c>
      <c r="G49" s="218">
        <v>10000000</v>
      </c>
      <c r="H49" s="226">
        <v>1</v>
      </c>
      <c r="I49" s="241"/>
      <c r="J49" s="237"/>
      <c r="K49" s="24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</row>
    <row r="50" spans="1:22" ht="15.6">
      <c r="A50" s="327"/>
      <c r="B50" s="328"/>
      <c r="C50" s="195">
        <v>1035018600</v>
      </c>
      <c r="D50" s="195">
        <v>742534100</v>
      </c>
      <c r="E50" s="195">
        <v>74</v>
      </c>
      <c r="F50" s="195">
        <v>26</v>
      </c>
      <c r="G50" s="195">
        <v>284140000</v>
      </c>
      <c r="H50" s="195">
        <v>28</v>
      </c>
      <c r="I50" s="243"/>
      <c r="J50" s="243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</row>
    <row r="51" spans="1:22">
      <c r="A51" s="202"/>
      <c r="B51" s="202"/>
      <c r="C51" s="222">
        <v>103.5</v>
      </c>
      <c r="D51" s="222">
        <v>74.25</v>
      </c>
      <c r="E51" s="222">
        <v>0</v>
      </c>
      <c r="F51" s="202"/>
      <c r="G51" s="222">
        <v>28.41</v>
      </c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</row>
    <row r="52" spans="1:22">
      <c r="A52" s="202"/>
      <c r="B52" s="202"/>
      <c r="C52" s="202"/>
      <c r="D52" s="202"/>
      <c r="E52" s="222">
        <v>48.17</v>
      </c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</row>
  </sheetData>
  <mergeCells count="68">
    <mergeCell ref="A48:B48"/>
    <mergeCell ref="A50:B50"/>
    <mergeCell ref="A42:B42"/>
    <mergeCell ref="A43:B43"/>
    <mergeCell ref="A44:B44"/>
    <mergeCell ref="A45:B45"/>
    <mergeCell ref="A46:B46"/>
    <mergeCell ref="A47:B47"/>
    <mergeCell ref="A41:B41"/>
    <mergeCell ref="A23:A24"/>
    <mergeCell ref="A32:B33"/>
    <mergeCell ref="D32:D33"/>
    <mergeCell ref="F32:F33"/>
    <mergeCell ref="A34:B34"/>
    <mergeCell ref="A35:B35"/>
    <mergeCell ref="A36:B36"/>
    <mergeCell ref="A37:B37"/>
    <mergeCell ref="A38:B38"/>
    <mergeCell ref="A39:B39"/>
    <mergeCell ref="A40:B40"/>
    <mergeCell ref="S15:S16"/>
    <mergeCell ref="T15:T16"/>
    <mergeCell ref="U15:U16"/>
    <mergeCell ref="V15:V16"/>
    <mergeCell ref="A17:A18"/>
    <mergeCell ref="Q15:Q16"/>
    <mergeCell ref="R15:R16"/>
    <mergeCell ref="A20:A21"/>
    <mergeCell ref="L15:L16"/>
    <mergeCell ref="M15:M16"/>
    <mergeCell ref="N15:N16"/>
    <mergeCell ref="O15:O16"/>
    <mergeCell ref="F15:F16"/>
    <mergeCell ref="G15:G16"/>
    <mergeCell ref="H15:H16"/>
    <mergeCell ref="I15:I16"/>
    <mergeCell ref="J15:J16"/>
    <mergeCell ref="K15:K16"/>
    <mergeCell ref="E15:E16"/>
    <mergeCell ref="A9:A12"/>
    <mergeCell ref="A14:A16"/>
    <mergeCell ref="B15:B16"/>
    <mergeCell ref="C15:C16"/>
    <mergeCell ref="D15:D16"/>
    <mergeCell ref="T1:T2"/>
    <mergeCell ref="U1:U2"/>
    <mergeCell ref="V1:V2"/>
    <mergeCell ref="A3:V3"/>
    <mergeCell ref="A4:A5"/>
    <mergeCell ref="R1:R2"/>
    <mergeCell ref="S1:S2"/>
    <mergeCell ref="G1:G2"/>
    <mergeCell ref="A6:A7"/>
    <mergeCell ref="N1:N2"/>
    <mergeCell ref="O1:O2"/>
    <mergeCell ref="P1:P2"/>
    <mergeCell ref="Q1:Q2"/>
    <mergeCell ref="H1:H2"/>
    <mergeCell ref="I1:I2"/>
    <mergeCell ref="J1:J2"/>
    <mergeCell ref="K1:K2"/>
    <mergeCell ref="L1:L2"/>
    <mergeCell ref="M1:M2"/>
    <mergeCell ref="A1:A2"/>
    <mergeCell ref="B1:B2"/>
    <mergeCell ref="D1:D2"/>
    <mergeCell ref="E1:E2"/>
    <mergeCell ref="F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K8"/>
  <sheetViews>
    <sheetView workbookViewId="0">
      <pane ySplit="1" topLeftCell="A2" activePane="bottomLeft" state="frozen"/>
      <selection pane="bottomLeft" activeCell="C13" sqref="C13"/>
    </sheetView>
  </sheetViews>
  <sheetFormatPr defaultRowHeight="14.45"/>
  <cols>
    <col min="1" max="11" width="18" customWidth="1"/>
  </cols>
  <sheetData>
    <row r="1" spans="1:11">
      <c r="A1" s="1" t="s">
        <v>0</v>
      </c>
      <c r="B1" s="4" t="s">
        <v>250</v>
      </c>
      <c r="C1" s="4" t="s">
        <v>100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</row>
    <row r="2" spans="1:11" ht="29.1">
      <c r="C2" s="5" t="s">
        <v>259</v>
      </c>
      <c r="D2" s="6">
        <v>3500000</v>
      </c>
      <c r="E2" s="6"/>
      <c r="F2" s="2">
        <v>15000000</v>
      </c>
      <c r="G2" s="2">
        <v>12000000</v>
      </c>
      <c r="H2" t="s">
        <v>260</v>
      </c>
      <c r="I2" t="s">
        <v>261</v>
      </c>
      <c r="J2" s="2">
        <f>D2-F2</f>
        <v>-11500000</v>
      </c>
      <c r="K2" s="3" t="s">
        <v>262</v>
      </c>
    </row>
    <row r="3" spans="1:11" ht="43.5">
      <c r="C3" s="5" t="s">
        <v>263</v>
      </c>
      <c r="D3" s="6">
        <v>800000</v>
      </c>
      <c r="E3" s="6"/>
      <c r="F3" s="2">
        <v>2000000</v>
      </c>
      <c r="G3" s="2">
        <v>500000</v>
      </c>
      <c r="H3" t="s">
        <v>264</v>
      </c>
      <c r="I3" t="s">
        <v>261</v>
      </c>
      <c r="J3" s="2">
        <f>D3-F3</f>
        <v>-1200000</v>
      </c>
      <c r="K3" s="3" t="s">
        <v>265</v>
      </c>
    </row>
    <row r="4" spans="1:11">
      <c r="C4" t="s">
        <v>266</v>
      </c>
      <c r="D4" s="6">
        <v>1000000000</v>
      </c>
      <c r="E4" s="6"/>
      <c r="J4" s="2">
        <f t="shared" ref="J4:J6" si="0">D4-F4</f>
        <v>1000000000</v>
      </c>
    </row>
    <row r="5" spans="1:11">
      <c r="C5" t="s">
        <v>267</v>
      </c>
      <c r="D5">
        <v>1729407</v>
      </c>
      <c r="J5" s="2">
        <f t="shared" si="0"/>
        <v>1729407</v>
      </c>
    </row>
    <row r="6" spans="1:11">
      <c r="B6" t="s">
        <v>268</v>
      </c>
      <c r="C6" t="s">
        <v>269</v>
      </c>
      <c r="D6">
        <v>175000000</v>
      </c>
      <c r="J6" s="2">
        <f t="shared" si="0"/>
        <v>175000000</v>
      </c>
    </row>
    <row r="8" spans="1:11">
      <c r="D8" t="s">
        <v>270</v>
      </c>
    </row>
  </sheetData>
  <conditionalFormatting sqref="J2:J1048576">
    <cfRule type="cellIs" dxfId="0" priority="1" operator="lessThan">
      <formula>0</formula>
    </cfRule>
  </conditionalFormatting>
  <dataValidations count="1">
    <dataValidation type="list" allowBlank="1" sqref="I2:I1048576" xr:uid="{00000000-0002-0000-0100-000000000000}">
      <formula1>"INR,USD,EUR"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G4"/>
  <sheetViews>
    <sheetView workbookViewId="0">
      <pane ySplit="1" topLeftCell="A2" activePane="bottomLeft" state="frozen"/>
      <selection pane="bottomLeft" activeCell="A2" sqref="A2"/>
    </sheetView>
  </sheetViews>
  <sheetFormatPr defaultRowHeight="14.45"/>
  <cols>
    <col min="1" max="7" width="22" customWidth="1"/>
  </cols>
  <sheetData>
    <row r="1" spans="1:7">
      <c r="A1" s="1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103</v>
      </c>
      <c r="G1" s="1" t="s">
        <v>276</v>
      </c>
    </row>
    <row r="2" spans="1:7">
      <c r="A2" t="s">
        <v>277</v>
      </c>
      <c r="B2" t="s">
        <v>278</v>
      </c>
      <c r="D2" s="3" t="s">
        <v>279</v>
      </c>
      <c r="E2" s="3" t="s">
        <v>280</v>
      </c>
      <c r="F2" t="s">
        <v>281</v>
      </c>
      <c r="G2" t="s">
        <v>282</v>
      </c>
    </row>
    <row r="3" spans="1:7">
      <c r="A3" t="s">
        <v>277</v>
      </c>
      <c r="B3" t="s">
        <v>283</v>
      </c>
      <c r="D3" s="3" t="s">
        <v>284</v>
      </c>
      <c r="E3" s="3"/>
      <c r="F3" t="s">
        <v>285</v>
      </c>
      <c r="G3" t="s">
        <v>286</v>
      </c>
    </row>
    <row r="4" spans="1:7">
      <c r="A4" t="s">
        <v>287</v>
      </c>
      <c r="B4" t="s">
        <v>288</v>
      </c>
      <c r="D4" s="3" t="s">
        <v>289</v>
      </c>
      <c r="E4" s="3"/>
      <c r="F4" t="s">
        <v>290</v>
      </c>
      <c r="G4" t="s">
        <v>291</v>
      </c>
    </row>
  </sheetData>
  <dataValidations count="1">
    <dataValidation type="list" allowBlank="1" sqref="F2:F1048576" xr:uid="{00000000-0002-0000-0200-000000000000}">
      <formula1>"Planning,In Progress,Completed,Delayed"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3A03-438C-4C3F-82F3-163984F1EB5F}">
  <sheetPr codeName="Sheet5"/>
  <dimension ref="A1:N672"/>
  <sheetViews>
    <sheetView topLeftCell="E1" workbookViewId="0">
      <selection activeCell="N228" sqref="N228"/>
    </sheetView>
  </sheetViews>
  <sheetFormatPr defaultRowHeight="14.45"/>
  <cols>
    <col min="1" max="3" width="25.140625" customWidth="1"/>
    <col min="257" max="259" width="25.140625" customWidth="1"/>
    <col min="513" max="515" width="25.140625" customWidth="1"/>
    <col min="769" max="771" width="25.140625" customWidth="1"/>
    <col min="1025" max="1027" width="25.140625" customWidth="1"/>
    <col min="1281" max="1283" width="25.140625" customWidth="1"/>
    <col min="1537" max="1539" width="25.140625" customWidth="1"/>
    <col min="1793" max="1795" width="25.140625" customWidth="1"/>
    <col min="2049" max="2051" width="25.140625" customWidth="1"/>
    <col min="2305" max="2307" width="25.140625" customWidth="1"/>
    <col min="2561" max="2563" width="25.140625" customWidth="1"/>
    <col min="2817" max="2819" width="25.140625" customWidth="1"/>
    <col min="3073" max="3075" width="25.140625" customWidth="1"/>
    <col min="3329" max="3331" width="25.140625" customWidth="1"/>
    <col min="3585" max="3587" width="25.140625" customWidth="1"/>
    <col min="3841" max="3843" width="25.140625" customWidth="1"/>
    <col min="4097" max="4099" width="25.140625" customWidth="1"/>
    <col min="4353" max="4355" width="25.140625" customWidth="1"/>
    <col min="4609" max="4611" width="25.140625" customWidth="1"/>
    <col min="4865" max="4867" width="25.140625" customWidth="1"/>
    <col min="5121" max="5123" width="25.140625" customWidth="1"/>
    <col min="5377" max="5379" width="25.140625" customWidth="1"/>
    <col min="5633" max="5635" width="25.140625" customWidth="1"/>
    <col min="5889" max="5891" width="25.140625" customWidth="1"/>
    <col min="6145" max="6147" width="25.140625" customWidth="1"/>
    <col min="6401" max="6403" width="25.140625" customWidth="1"/>
    <col min="6657" max="6659" width="25.140625" customWidth="1"/>
    <col min="6913" max="6915" width="25.140625" customWidth="1"/>
    <col min="7169" max="7171" width="25.140625" customWidth="1"/>
    <col min="7425" max="7427" width="25.140625" customWidth="1"/>
    <col min="7681" max="7683" width="25.140625" customWidth="1"/>
    <col min="7937" max="7939" width="25.140625" customWidth="1"/>
    <col min="8193" max="8195" width="25.140625" customWidth="1"/>
    <col min="8449" max="8451" width="25.140625" customWidth="1"/>
    <col min="8705" max="8707" width="25.140625" customWidth="1"/>
    <col min="8961" max="8963" width="25.140625" customWidth="1"/>
    <col min="9217" max="9219" width="25.140625" customWidth="1"/>
    <col min="9473" max="9475" width="25.140625" customWidth="1"/>
    <col min="9729" max="9731" width="25.140625" customWidth="1"/>
    <col min="9985" max="9987" width="25.140625" customWidth="1"/>
    <col min="10241" max="10243" width="25.140625" customWidth="1"/>
    <col min="10497" max="10499" width="25.140625" customWidth="1"/>
    <col min="10753" max="10755" width="25.140625" customWidth="1"/>
    <col min="11009" max="11011" width="25.140625" customWidth="1"/>
    <col min="11265" max="11267" width="25.140625" customWidth="1"/>
    <col min="11521" max="11523" width="25.140625" customWidth="1"/>
    <col min="11777" max="11779" width="25.140625" customWidth="1"/>
    <col min="12033" max="12035" width="25.140625" customWidth="1"/>
    <col min="12289" max="12291" width="25.140625" customWidth="1"/>
    <col min="12545" max="12547" width="25.140625" customWidth="1"/>
    <col min="12801" max="12803" width="25.140625" customWidth="1"/>
    <col min="13057" max="13059" width="25.140625" customWidth="1"/>
    <col min="13313" max="13315" width="25.140625" customWidth="1"/>
    <col min="13569" max="13571" width="25.140625" customWidth="1"/>
    <col min="13825" max="13827" width="25.140625" customWidth="1"/>
    <col min="14081" max="14083" width="25.140625" customWidth="1"/>
    <col min="14337" max="14339" width="25.140625" customWidth="1"/>
    <col min="14593" max="14595" width="25.140625" customWidth="1"/>
    <col min="14849" max="14851" width="25.140625" customWidth="1"/>
    <col min="15105" max="15107" width="25.140625" customWidth="1"/>
    <col min="15361" max="15363" width="25.140625" customWidth="1"/>
    <col min="15617" max="15619" width="25.140625" customWidth="1"/>
    <col min="15873" max="15875" width="25.140625" customWidth="1"/>
    <col min="16129" max="16131" width="25.140625" customWidth="1"/>
  </cols>
  <sheetData>
    <row r="1" spans="1:14" s="7" customFormat="1">
      <c r="A1" s="7" t="s">
        <v>292</v>
      </c>
      <c r="B1" s="7" t="s">
        <v>293</v>
      </c>
      <c r="C1" s="7" t="s">
        <v>294</v>
      </c>
      <c r="D1" s="7" t="s">
        <v>295</v>
      </c>
      <c r="E1" s="7" t="s">
        <v>296</v>
      </c>
      <c r="F1" s="7" t="s">
        <v>93</v>
      </c>
      <c r="G1" s="7" t="s">
        <v>297</v>
      </c>
      <c r="H1" s="7" t="s">
        <v>91</v>
      </c>
      <c r="I1" s="7" t="s">
        <v>298</v>
      </c>
      <c r="J1" s="7" t="s">
        <v>299</v>
      </c>
      <c r="K1" s="7" t="s">
        <v>103</v>
      </c>
      <c r="L1" s="7" t="s">
        <v>300</v>
      </c>
      <c r="M1" s="7" t="s">
        <v>260</v>
      </c>
      <c r="N1" s="7" t="s">
        <v>260</v>
      </c>
    </row>
    <row r="2" spans="1:14">
      <c r="A2" t="s">
        <v>301</v>
      </c>
      <c r="B2" t="s">
        <v>302</v>
      </c>
      <c r="C2" t="s">
        <v>303</v>
      </c>
      <c r="D2" t="s">
        <v>304</v>
      </c>
      <c r="E2" t="s">
        <v>305</v>
      </c>
      <c r="F2" t="s">
        <v>304</v>
      </c>
      <c r="G2" t="s">
        <v>304</v>
      </c>
      <c r="H2" t="s">
        <v>306</v>
      </c>
      <c r="I2" t="s">
        <v>307</v>
      </c>
      <c r="J2" t="s">
        <v>308</v>
      </c>
      <c r="K2" t="s">
        <v>122</v>
      </c>
      <c r="L2" t="s">
        <v>309</v>
      </c>
      <c r="M2" t="s">
        <v>310</v>
      </c>
      <c r="N2" t="s">
        <v>310</v>
      </c>
    </row>
    <row r="3" spans="1:14">
      <c r="A3" t="s">
        <v>311</v>
      </c>
      <c r="B3" t="s">
        <v>312</v>
      </c>
      <c r="C3" t="s">
        <v>313</v>
      </c>
      <c r="D3" t="s">
        <v>314</v>
      </c>
      <c r="E3" t="s">
        <v>315</v>
      </c>
      <c r="F3" t="s">
        <v>314</v>
      </c>
      <c r="G3" t="s">
        <v>314</v>
      </c>
      <c r="H3" t="s">
        <v>316</v>
      </c>
      <c r="I3" t="s">
        <v>317</v>
      </c>
      <c r="J3" t="s">
        <v>318</v>
      </c>
      <c r="K3" t="s">
        <v>122</v>
      </c>
      <c r="L3" t="s">
        <v>319</v>
      </c>
      <c r="M3" t="s">
        <v>320</v>
      </c>
      <c r="N3" t="s">
        <v>320</v>
      </c>
    </row>
    <row r="4" spans="1:14">
      <c r="A4" t="s">
        <v>321</v>
      </c>
      <c r="B4" t="s">
        <v>322</v>
      </c>
      <c r="C4" t="s">
        <v>323</v>
      </c>
      <c r="D4" t="s">
        <v>324</v>
      </c>
      <c r="E4" t="s">
        <v>325</v>
      </c>
      <c r="F4" t="s">
        <v>324</v>
      </c>
      <c r="G4" t="s">
        <v>324</v>
      </c>
      <c r="H4" t="s">
        <v>326</v>
      </c>
      <c r="I4" t="s">
        <v>327</v>
      </c>
      <c r="J4" t="s">
        <v>328</v>
      </c>
      <c r="K4" t="s">
        <v>122</v>
      </c>
      <c r="L4" t="s">
        <v>329</v>
      </c>
      <c r="M4" t="s">
        <v>330</v>
      </c>
      <c r="N4" t="s">
        <v>330</v>
      </c>
    </row>
    <row r="5" spans="1:14">
      <c r="A5" t="s">
        <v>331</v>
      </c>
      <c r="B5" t="s">
        <v>332</v>
      </c>
      <c r="C5" t="s">
        <v>333</v>
      </c>
      <c r="D5" t="s">
        <v>334</v>
      </c>
      <c r="E5" t="s">
        <v>335</v>
      </c>
      <c r="F5" t="s">
        <v>336</v>
      </c>
      <c r="G5" t="s">
        <v>336</v>
      </c>
      <c r="H5" t="s">
        <v>316</v>
      </c>
      <c r="I5" t="s">
        <v>317</v>
      </c>
      <c r="J5" t="s">
        <v>318</v>
      </c>
      <c r="K5" t="s">
        <v>122</v>
      </c>
      <c r="L5" t="s">
        <v>337</v>
      </c>
      <c r="M5" t="s">
        <v>338</v>
      </c>
      <c r="N5" t="s">
        <v>338</v>
      </c>
    </row>
    <row r="6" spans="1:14">
      <c r="A6" t="s">
        <v>339</v>
      </c>
      <c r="B6" t="s">
        <v>340</v>
      </c>
      <c r="C6" t="s">
        <v>341</v>
      </c>
      <c r="D6" t="s">
        <v>342</v>
      </c>
      <c r="E6" t="s">
        <v>343</v>
      </c>
      <c r="F6" t="s">
        <v>342</v>
      </c>
      <c r="G6" t="s">
        <v>342</v>
      </c>
      <c r="H6" t="s">
        <v>306</v>
      </c>
      <c r="I6" t="s">
        <v>307</v>
      </c>
      <c r="J6" t="s">
        <v>210</v>
      </c>
      <c r="K6" t="s">
        <v>122</v>
      </c>
      <c r="L6" t="s">
        <v>344</v>
      </c>
      <c r="M6" t="s">
        <v>345</v>
      </c>
      <c r="N6" t="s">
        <v>345</v>
      </c>
    </row>
    <row r="7" spans="1:14">
      <c r="A7" t="s">
        <v>346</v>
      </c>
      <c r="B7" t="s">
        <v>347</v>
      </c>
      <c r="C7" t="s">
        <v>348</v>
      </c>
      <c r="D7" t="s">
        <v>349</v>
      </c>
      <c r="E7" t="s">
        <v>343</v>
      </c>
      <c r="F7" t="s">
        <v>349</v>
      </c>
      <c r="G7" t="s">
        <v>349</v>
      </c>
      <c r="H7" t="s">
        <v>306</v>
      </c>
      <c r="I7" t="s">
        <v>307</v>
      </c>
      <c r="J7" t="s">
        <v>210</v>
      </c>
      <c r="K7" t="s">
        <v>122</v>
      </c>
      <c r="L7" t="s">
        <v>350</v>
      </c>
      <c r="M7" t="s">
        <v>351</v>
      </c>
      <c r="N7" t="s">
        <v>351</v>
      </c>
    </row>
    <row r="8" spans="1:14">
      <c r="A8" t="s">
        <v>352</v>
      </c>
      <c r="B8" t="s">
        <v>353</v>
      </c>
      <c r="C8" t="s">
        <v>354</v>
      </c>
      <c r="D8" t="s">
        <v>355</v>
      </c>
      <c r="E8" t="s">
        <v>356</v>
      </c>
      <c r="F8" t="s">
        <v>355</v>
      </c>
      <c r="G8" t="s">
        <v>355</v>
      </c>
      <c r="H8" t="s">
        <v>306</v>
      </c>
      <c r="I8" t="s">
        <v>307</v>
      </c>
      <c r="J8" t="s">
        <v>357</v>
      </c>
      <c r="K8" t="s">
        <v>122</v>
      </c>
      <c r="L8" t="s">
        <v>358</v>
      </c>
      <c r="M8" t="s">
        <v>359</v>
      </c>
      <c r="N8" t="s">
        <v>359</v>
      </c>
    </row>
    <row r="9" spans="1:14">
      <c r="A9" t="s">
        <v>360</v>
      </c>
      <c r="B9" t="s">
        <v>361</v>
      </c>
      <c r="C9" t="s">
        <v>362</v>
      </c>
      <c r="D9" t="s">
        <v>363</v>
      </c>
      <c r="E9" t="s">
        <v>364</v>
      </c>
      <c r="F9" t="s">
        <v>365</v>
      </c>
      <c r="G9" t="s">
        <v>365</v>
      </c>
      <c r="H9" t="s">
        <v>306</v>
      </c>
      <c r="I9" t="s">
        <v>366</v>
      </c>
      <c r="J9" t="s">
        <v>367</v>
      </c>
      <c r="K9" t="s">
        <v>122</v>
      </c>
      <c r="L9" t="s">
        <v>368</v>
      </c>
      <c r="M9" t="s">
        <v>369</v>
      </c>
      <c r="N9" t="s">
        <v>369</v>
      </c>
    </row>
    <row r="10" spans="1:14">
      <c r="A10" t="s">
        <v>370</v>
      </c>
      <c r="B10" t="s">
        <v>371</v>
      </c>
      <c r="C10" t="s">
        <v>372</v>
      </c>
      <c r="D10" t="s">
        <v>373</v>
      </c>
      <c r="E10" t="s">
        <v>374</v>
      </c>
      <c r="F10" t="s">
        <v>375</v>
      </c>
      <c r="G10" t="s">
        <v>375</v>
      </c>
      <c r="H10" t="s">
        <v>316</v>
      </c>
      <c r="I10" t="s">
        <v>317</v>
      </c>
      <c r="J10" t="s">
        <v>376</v>
      </c>
      <c r="K10" t="s">
        <v>122</v>
      </c>
      <c r="L10" t="s">
        <v>350</v>
      </c>
      <c r="M10" t="s">
        <v>370</v>
      </c>
      <c r="N10" t="s">
        <v>370</v>
      </c>
    </row>
    <row r="11" spans="1:14">
      <c r="A11" t="s">
        <v>377</v>
      </c>
      <c r="B11" t="s">
        <v>378</v>
      </c>
      <c r="C11" t="s">
        <v>379</v>
      </c>
      <c r="D11" t="s">
        <v>380</v>
      </c>
      <c r="E11" t="s">
        <v>325</v>
      </c>
      <c r="F11" t="s">
        <v>380</v>
      </c>
      <c r="G11" t="s">
        <v>380</v>
      </c>
      <c r="H11" t="s">
        <v>306</v>
      </c>
      <c r="I11" t="s">
        <v>307</v>
      </c>
      <c r="J11" t="s">
        <v>210</v>
      </c>
      <c r="K11" t="s">
        <v>122</v>
      </c>
      <c r="L11" t="s">
        <v>381</v>
      </c>
      <c r="M11" t="s">
        <v>138</v>
      </c>
      <c r="N11" t="s">
        <v>138</v>
      </c>
    </row>
    <row r="12" spans="1:14">
      <c r="A12" t="s">
        <v>382</v>
      </c>
      <c r="B12" t="s">
        <v>383</v>
      </c>
      <c r="C12" t="s">
        <v>384</v>
      </c>
      <c r="D12" t="s">
        <v>385</v>
      </c>
      <c r="E12" t="s">
        <v>325</v>
      </c>
      <c r="F12" t="s">
        <v>385</v>
      </c>
      <c r="G12" t="s">
        <v>385</v>
      </c>
      <c r="H12" t="s">
        <v>306</v>
      </c>
      <c r="I12" t="s">
        <v>307</v>
      </c>
      <c r="J12" t="s">
        <v>357</v>
      </c>
      <c r="K12" t="s">
        <v>122</v>
      </c>
      <c r="L12" t="s">
        <v>386</v>
      </c>
      <c r="M12" t="s">
        <v>387</v>
      </c>
      <c r="N12" t="s">
        <v>387</v>
      </c>
    </row>
    <row r="13" spans="1:14">
      <c r="A13" t="s">
        <v>388</v>
      </c>
      <c r="B13" t="s">
        <v>389</v>
      </c>
      <c r="C13" t="s">
        <v>390</v>
      </c>
      <c r="D13" t="s">
        <v>391</v>
      </c>
      <c r="E13" t="s">
        <v>343</v>
      </c>
      <c r="F13" t="s">
        <v>391</v>
      </c>
      <c r="G13" t="s">
        <v>391</v>
      </c>
      <c r="H13" t="s">
        <v>316</v>
      </c>
      <c r="I13" t="s">
        <v>317</v>
      </c>
      <c r="J13" t="s">
        <v>318</v>
      </c>
      <c r="K13" t="s">
        <v>122</v>
      </c>
      <c r="L13" t="s">
        <v>368</v>
      </c>
      <c r="M13" t="s">
        <v>392</v>
      </c>
      <c r="N13" t="s">
        <v>392</v>
      </c>
    </row>
    <row r="14" spans="1:14">
      <c r="A14" t="s">
        <v>393</v>
      </c>
      <c r="B14" t="s">
        <v>389</v>
      </c>
      <c r="C14" t="s">
        <v>390</v>
      </c>
      <c r="D14" t="s">
        <v>391</v>
      </c>
      <c r="E14" t="s">
        <v>343</v>
      </c>
      <c r="F14" t="s">
        <v>391</v>
      </c>
      <c r="G14" t="s">
        <v>391</v>
      </c>
      <c r="H14" t="s">
        <v>316</v>
      </c>
      <c r="I14" t="s">
        <v>317</v>
      </c>
      <c r="J14" t="s">
        <v>318</v>
      </c>
      <c r="K14" t="s">
        <v>122</v>
      </c>
      <c r="L14" t="s">
        <v>368</v>
      </c>
      <c r="M14" t="s">
        <v>392</v>
      </c>
      <c r="N14" t="s">
        <v>392</v>
      </c>
    </row>
    <row r="15" spans="1:14">
      <c r="A15" t="s">
        <v>394</v>
      </c>
      <c r="B15" t="s">
        <v>378</v>
      </c>
      <c r="C15" t="s">
        <v>379</v>
      </c>
      <c r="D15" t="s">
        <v>395</v>
      </c>
      <c r="E15" t="s">
        <v>325</v>
      </c>
      <c r="F15" t="s">
        <v>396</v>
      </c>
      <c r="G15" t="s">
        <v>396</v>
      </c>
      <c r="H15" t="s">
        <v>306</v>
      </c>
      <c r="I15" t="s">
        <v>307</v>
      </c>
      <c r="J15" t="s">
        <v>397</v>
      </c>
      <c r="K15" t="s">
        <v>122</v>
      </c>
      <c r="L15" t="s">
        <v>309</v>
      </c>
      <c r="M15" t="s">
        <v>398</v>
      </c>
      <c r="N15" t="s">
        <v>398</v>
      </c>
    </row>
    <row r="16" spans="1:14">
      <c r="A16" t="s">
        <v>399</v>
      </c>
      <c r="B16" t="s">
        <v>400</v>
      </c>
      <c r="C16" t="s">
        <v>401</v>
      </c>
      <c r="D16" t="s">
        <v>402</v>
      </c>
      <c r="E16" t="s">
        <v>335</v>
      </c>
      <c r="F16" t="s">
        <v>402</v>
      </c>
      <c r="G16" t="s">
        <v>402</v>
      </c>
      <c r="H16" t="s">
        <v>316</v>
      </c>
      <c r="I16" t="s">
        <v>317</v>
      </c>
      <c r="J16" t="s">
        <v>318</v>
      </c>
      <c r="K16" t="s">
        <v>122</v>
      </c>
      <c r="L16" t="s">
        <v>368</v>
      </c>
      <c r="M16" t="s">
        <v>403</v>
      </c>
      <c r="N16" t="s">
        <v>403</v>
      </c>
    </row>
    <row r="17" spans="1:14">
      <c r="A17" t="s">
        <v>404</v>
      </c>
      <c r="B17" t="s">
        <v>405</v>
      </c>
      <c r="C17" t="s">
        <v>406</v>
      </c>
      <c r="D17" t="s">
        <v>407</v>
      </c>
      <c r="E17" t="s">
        <v>335</v>
      </c>
      <c r="F17" t="s">
        <v>407</v>
      </c>
      <c r="G17" t="s">
        <v>407</v>
      </c>
      <c r="H17" t="s">
        <v>316</v>
      </c>
      <c r="I17" t="s">
        <v>317</v>
      </c>
      <c r="J17" t="s">
        <v>367</v>
      </c>
      <c r="K17" t="s">
        <v>122</v>
      </c>
      <c r="L17" t="s">
        <v>386</v>
      </c>
      <c r="M17" t="s">
        <v>408</v>
      </c>
      <c r="N17" t="s">
        <v>408</v>
      </c>
    </row>
    <row r="18" spans="1:14">
      <c r="A18" t="s">
        <v>409</v>
      </c>
      <c r="B18" t="s">
        <v>410</v>
      </c>
      <c r="C18" t="s">
        <v>411</v>
      </c>
      <c r="D18" t="s">
        <v>412</v>
      </c>
      <c r="E18" t="s">
        <v>325</v>
      </c>
      <c r="F18" t="s">
        <v>412</v>
      </c>
      <c r="G18" t="s">
        <v>412</v>
      </c>
      <c r="H18" t="s">
        <v>306</v>
      </c>
      <c r="I18" t="s">
        <v>307</v>
      </c>
      <c r="J18" t="s">
        <v>328</v>
      </c>
      <c r="K18" t="s">
        <v>122</v>
      </c>
      <c r="L18" t="s">
        <v>329</v>
      </c>
      <c r="M18" t="s">
        <v>413</v>
      </c>
      <c r="N18" t="s">
        <v>413</v>
      </c>
    </row>
    <row r="19" spans="1:14">
      <c r="A19" t="s">
        <v>414</v>
      </c>
      <c r="B19" t="s">
        <v>415</v>
      </c>
      <c r="C19" t="s">
        <v>416</v>
      </c>
      <c r="D19" t="s">
        <v>417</v>
      </c>
      <c r="E19" t="s">
        <v>315</v>
      </c>
      <c r="F19" t="s">
        <v>375</v>
      </c>
      <c r="G19" t="s">
        <v>375</v>
      </c>
      <c r="H19" t="s">
        <v>316</v>
      </c>
      <c r="I19" t="s">
        <v>327</v>
      </c>
      <c r="J19" t="s">
        <v>418</v>
      </c>
      <c r="K19" t="s">
        <v>122</v>
      </c>
      <c r="L19" t="s">
        <v>358</v>
      </c>
      <c r="M19" t="s">
        <v>419</v>
      </c>
      <c r="N19" t="s">
        <v>419</v>
      </c>
    </row>
    <row r="20" spans="1:14">
      <c r="A20" t="s">
        <v>420</v>
      </c>
      <c r="B20" t="s">
        <v>421</v>
      </c>
      <c r="C20" t="s">
        <v>422</v>
      </c>
      <c r="D20" t="s">
        <v>423</v>
      </c>
      <c r="E20" t="s">
        <v>305</v>
      </c>
      <c r="F20" t="s">
        <v>423</v>
      </c>
      <c r="G20" t="s">
        <v>423</v>
      </c>
      <c r="H20" t="s">
        <v>316</v>
      </c>
      <c r="I20" t="s">
        <v>317</v>
      </c>
      <c r="J20" t="s">
        <v>424</v>
      </c>
      <c r="K20" t="s">
        <v>122</v>
      </c>
      <c r="L20" t="s">
        <v>381</v>
      </c>
      <c r="M20" t="s">
        <v>425</v>
      </c>
      <c r="N20" t="s">
        <v>425</v>
      </c>
    </row>
    <row r="21" spans="1:14">
      <c r="A21" t="s">
        <v>426</v>
      </c>
      <c r="B21" t="s">
        <v>427</v>
      </c>
      <c r="C21" t="s">
        <v>428</v>
      </c>
      <c r="D21" t="s">
        <v>429</v>
      </c>
      <c r="E21" t="s">
        <v>430</v>
      </c>
      <c r="F21" t="s">
        <v>429</v>
      </c>
      <c r="G21" t="s">
        <v>429</v>
      </c>
      <c r="H21" t="s">
        <v>431</v>
      </c>
      <c r="I21" t="s">
        <v>327</v>
      </c>
      <c r="J21" t="s">
        <v>424</v>
      </c>
      <c r="K21" t="s">
        <v>122</v>
      </c>
      <c r="L21" t="s">
        <v>386</v>
      </c>
      <c r="M21" t="s">
        <v>432</v>
      </c>
      <c r="N21" t="s">
        <v>432</v>
      </c>
    </row>
    <row r="22" spans="1:14">
      <c r="A22" t="s">
        <v>433</v>
      </c>
      <c r="B22" t="s">
        <v>434</v>
      </c>
      <c r="C22" t="s">
        <v>435</v>
      </c>
      <c r="D22" t="s">
        <v>436</v>
      </c>
      <c r="E22" t="s">
        <v>325</v>
      </c>
      <c r="F22" t="s">
        <v>436</v>
      </c>
      <c r="G22" t="s">
        <v>436</v>
      </c>
      <c r="H22" t="s">
        <v>431</v>
      </c>
      <c r="I22" t="s">
        <v>327</v>
      </c>
      <c r="J22" t="s">
        <v>357</v>
      </c>
      <c r="K22" t="s">
        <v>122</v>
      </c>
      <c r="L22" t="s">
        <v>386</v>
      </c>
      <c r="M22" t="s">
        <v>437</v>
      </c>
      <c r="N22" t="s">
        <v>437</v>
      </c>
    </row>
    <row r="23" spans="1:14">
      <c r="A23" t="s">
        <v>438</v>
      </c>
      <c r="B23" t="s">
        <v>439</v>
      </c>
      <c r="C23" t="s">
        <v>440</v>
      </c>
      <c r="D23" t="s">
        <v>441</v>
      </c>
      <c r="E23" t="s">
        <v>325</v>
      </c>
      <c r="F23" t="s">
        <v>441</v>
      </c>
      <c r="G23" t="s">
        <v>441</v>
      </c>
      <c r="H23" t="s">
        <v>306</v>
      </c>
      <c r="I23" t="s">
        <v>307</v>
      </c>
      <c r="J23" t="s">
        <v>424</v>
      </c>
      <c r="K23" t="s">
        <v>122</v>
      </c>
      <c r="L23" t="s">
        <v>381</v>
      </c>
      <c r="M23" t="s">
        <v>442</v>
      </c>
      <c r="N23" t="s">
        <v>442</v>
      </c>
    </row>
    <row r="24" spans="1:14">
      <c r="A24" t="s">
        <v>443</v>
      </c>
      <c r="B24" t="s">
        <v>444</v>
      </c>
      <c r="C24" t="s">
        <v>445</v>
      </c>
      <c r="D24" t="s">
        <v>446</v>
      </c>
      <c r="E24" t="s">
        <v>447</v>
      </c>
      <c r="F24" t="s">
        <v>446</v>
      </c>
      <c r="G24" t="s">
        <v>446</v>
      </c>
      <c r="H24" t="s">
        <v>316</v>
      </c>
      <c r="I24" t="s">
        <v>317</v>
      </c>
      <c r="J24" t="s">
        <v>397</v>
      </c>
      <c r="K24" t="s">
        <v>122</v>
      </c>
      <c r="L24" t="s">
        <v>344</v>
      </c>
      <c r="M24" t="s">
        <v>448</v>
      </c>
      <c r="N24" t="s">
        <v>448</v>
      </c>
    </row>
    <row r="25" spans="1:14">
      <c r="A25" t="s">
        <v>449</v>
      </c>
      <c r="B25" t="s">
        <v>434</v>
      </c>
      <c r="C25" t="s">
        <v>435</v>
      </c>
      <c r="D25" t="s">
        <v>450</v>
      </c>
      <c r="E25" t="s">
        <v>335</v>
      </c>
      <c r="F25" t="s">
        <v>450</v>
      </c>
      <c r="G25" t="s">
        <v>450</v>
      </c>
      <c r="H25" t="s">
        <v>316</v>
      </c>
      <c r="I25" t="s">
        <v>317</v>
      </c>
      <c r="J25" t="s">
        <v>308</v>
      </c>
      <c r="K25" t="s">
        <v>122</v>
      </c>
      <c r="L25" t="s">
        <v>451</v>
      </c>
      <c r="M25" t="s">
        <v>452</v>
      </c>
      <c r="N25" t="s">
        <v>452</v>
      </c>
    </row>
    <row r="26" spans="1:14">
      <c r="A26" t="s">
        <v>453</v>
      </c>
      <c r="B26" t="s">
        <v>454</v>
      </c>
      <c r="C26" t="s">
        <v>455</v>
      </c>
      <c r="D26" t="s">
        <v>456</v>
      </c>
      <c r="E26" t="s">
        <v>335</v>
      </c>
      <c r="F26" t="s">
        <v>456</v>
      </c>
      <c r="G26" t="s">
        <v>456</v>
      </c>
      <c r="H26" t="s">
        <v>316</v>
      </c>
      <c r="I26" t="s">
        <v>327</v>
      </c>
      <c r="J26" t="s">
        <v>424</v>
      </c>
      <c r="K26" t="s">
        <v>122</v>
      </c>
      <c r="L26" t="s">
        <v>386</v>
      </c>
      <c r="M26" t="s">
        <v>457</v>
      </c>
      <c r="N26" t="s">
        <v>457</v>
      </c>
    </row>
    <row r="27" spans="1:14">
      <c r="A27" t="s">
        <v>458</v>
      </c>
      <c r="B27" t="s">
        <v>434</v>
      </c>
      <c r="C27" t="s">
        <v>435</v>
      </c>
      <c r="D27" t="s">
        <v>459</v>
      </c>
      <c r="E27" t="s">
        <v>335</v>
      </c>
      <c r="F27" t="s">
        <v>459</v>
      </c>
      <c r="G27" t="s">
        <v>459</v>
      </c>
      <c r="H27" t="s">
        <v>316</v>
      </c>
      <c r="I27" t="s">
        <v>317</v>
      </c>
      <c r="J27" t="s">
        <v>424</v>
      </c>
      <c r="K27" t="s">
        <v>122</v>
      </c>
      <c r="L27" t="s">
        <v>381</v>
      </c>
      <c r="M27" t="s">
        <v>452</v>
      </c>
      <c r="N27" t="s">
        <v>452</v>
      </c>
    </row>
    <row r="28" spans="1:14">
      <c r="A28" t="s">
        <v>460</v>
      </c>
      <c r="B28" t="s">
        <v>378</v>
      </c>
      <c r="C28" t="s">
        <v>379</v>
      </c>
      <c r="D28" t="s">
        <v>461</v>
      </c>
      <c r="E28" t="s">
        <v>343</v>
      </c>
      <c r="F28" t="s">
        <v>461</v>
      </c>
      <c r="G28" t="s">
        <v>461</v>
      </c>
      <c r="H28" t="s">
        <v>306</v>
      </c>
      <c r="I28" t="s">
        <v>307</v>
      </c>
      <c r="J28" t="s">
        <v>210</v>
      </c>
      <c r="K28" t="s">
        <v>122</v>
      </c>
      <c r="L28" t="s">
        <v>350</v>
      </c>
      <c r="M28" t="s">
        <v>462</v>
      </c>
      <c r="N28" t="s">
        <v>462</v>
      </c>
    </row>
    <row r="29" spans="1:14">
      <c r="A29" t="s">
        <v>463</v>
      </c>
      <c r="B29" t="s">
        <v>464</v>
      </c>
      <c r="C29" t="s">
        <v>465</v>
      </c>
      <c r="D29" t="s">
        <v>466</v>
      </c>
      <c r="E29" t="s">
        <v>343</v>
      </c>
      <c r="F29" t="s">
        <v>466</v>
      </c>
      <c r="G29" t="s">
        <v>466</v>
      </c>
      <c r="H29" t="s">
        <v>306</v>
      </c>
      <c r="I29" t="s">
        <v>307</v>
      </c>
      <c r="J29" t="s">
        <v>308</v>
      </c>
      <c r="K29" t="s">
        <v>122</v>
      </c>
      <c r="L29" t="s">
        <v>358</v>
      </c>
      <c r="M29" t="s">
        <v>467</v>
      </c>
      <c r="N29" t="s">
        <v>467</v>
      </c>
    </row>
    <row r="30" spans="1:14">
      <c r="A30" t="s">
        <v>468</v>
      </c>
      <c r="B30" t="s">
        <v>469</v>
      </c>
      <c r="C30" t="s">
        <v>470</v>
      </c>
      <c r="D30" t="s">
        <v>471</v>
      </c>
      <c r="E30" t="s">
        <v>325</v>
      </c>
      <c r="F30" t="s">
        <v>471</v>
      </c>
      <c r="G30" t="s">
        <v>471</v>
      </c>
      <c r="H30" t="s">
        <v>306</v>
      </c>
      <c r="I30" t="s">
        <v>472</v>
      </c>
      <c r="J30" t="s">
        <v>328</v>
      </c>
      <c r="K30" t="s">
        <v>122</v>
      </c>
      <c r="L30" t="s">
        <v>329</v>
      </c>
      <c r="M30" t="s">
        <v>473</v>
      </c>
      <c r="N30" t="s">
        <v>473</v>
      </c>
    </row>
    <row r="31" spans="1:14">
      <c r="A31" t="s">
        <v>474</v>
      </c>
      <c r="B31" t="s">
        <v>475</v>
      </c>
      <c r="C31" t="s">
        <v>476</v>
      </c>
      <c r="D31" t="s">
        <v>477</v>
      </c>
      <c r="E31" t="s">
        <v>343</v>
      </c>
      <c r="F31" t="s">
        <v>477</v>
      </c>
      <c r="G31" t="s">
        <v>477</v>
      </c>
      <c r="H31" t="s">
        <v>316</v>
      </c>
      <c r="I31" t="s">
        <v>317</v>
      </c>
      <c r="J31" t="s">
        <v>318</v>
      </c>
      <c r="K31" t="s">
        <v>122</v>
      </c>
      <c r="L31" t="s">
        <v>350</v>
      </c>
      <c r="M31" t="s">
        <v>474</v>
      </c>
      <c r="N31" t="s">
        <v>474</v>
      </c>
    </row>
    <row r="32" spans="1:14">
      <c r="A32" t="s">
        <v>478</v>
      </c>
      <c r="B32" t="s">
        <v>439</v>
      </c>
      <c r="C32" t="s">
        <v>440</v>
      </c>
      <c r="D32" t="s">
        <v>479</v>
      </c>
      <c r="E32" t="s">
        <v>480</v>
      </c>
      <c r="F32" t="s">
        <v>479</v>
      </c>
      <c r="G32" t="s">
        <v>479</v>
      </c>
      <c r="H32" t="s">
        <v>306</v>
      </c>
      <c r="I32" t="s">
        <v>307</v>
      </c>
      <c r="J32" t="s">
        <v>424</v>
      </c>
      <c r="K32" t="s">
        <v>122</v>
      </c>
      <c r="L32" t="s">
        <v>386</v>
      </c>
      <c r="M32" t="s">
        <v>481</v>
      </c>
      <c r="N32" t="s">
        <v>481</v>
      </c>
    </row>
    <row r="33" spans="1:14">
      <c r="A33" t="s">
        <v>482</v>
      </c>
      <c r="B33" t="s">
        <v>483</v>
      </c>
      <c r="C33" t="s">
        <v>484</v>
      </c>
      <c r="D33" t="s">
        <v>485</v>
      </c>
      <c r="E33" t="s">
        <v>364</v>
      </c>
      <c r="F33" t="s">
        <v>485</v>
      </c>
      <c r="G33" t="s">
        <v>485</v>
      </c>
      <c r="H33" t="s">
        <v>316</v>
      </c>
      <c r="I33" t="s">
        <v>317</v>
      </c>
      <c r="J33" t="s">
        <v>357</v>
      </c>
      <c r="K33" t="s">
        <v>486</v>
      </c>
      <c r="L33" t="s">
        <v>487</v>
      </c>
      <c r="M33" t="s">
        <v>488</v>
      </c>
      <c r="N33" t="s">
        <v>488</v>
      </c>
    </row>
    <row r="34" spans="1:14">
      <c r="A34" t="s">
        <v>489</v>
      </c>
      <c r="B34" t="s">
        <v>490</v>
      </c>
      <c r="C34" t="s">
        <v>491</v>
      </c>
      <c r="D34" t="s">
        <v>492</v>
      </c>
      <c r="E34" t="s">
        <v>335</v>
      </c>
      <c r="F34" t="s">
        <v>492</v>
      </c>
      <c r="G34" t="s">
        <v>492</v>
      </c>
      <c r="H34" t="s">
        <v>316</v>
      </c>
      <c r="I34" t="s">
        <v>317</v>
      </c>
      <c r="J34" t="s">
        <v>318</v>
      </c>
      <c r="K34" t="s">
        <v>122</v>
      </c>
      <c r="L34" t="s">
        <v>381</v>
      </c>
      <c r="M34" t="s">
        <v>493</v>
      </c>
      <c r="N34" t="s">
        <v>493</v>
      </c>
    </row>
    <row r="35" spans="1:14">
      <c r="A35" t="s">
        <v>494</v>
      </c>
      <c r="B35" t="s">
        <v>495</v>
      </c>
      <c r="C35" t="s">
        <v>496</v>
      </c>
      <c r="D35" t="s">
        <v>497</v>
      </c>
      <c r="E35" t="s">
        <v>335</v>
      </c>
      <c r="F35" t="s">
        <v>497</v>
      </c>
      <c r="G35" t="s">
        <v>497</v>
      </c>
      <c r="H35" t="s">
        <v>316</v>
      </c>
      <c r="I35" t="s">
        <v>317</v>
      </c>
      <c r="J35" t="s">
        <v>424</v>
      </c>
      <c r="K35" t="s">
        <v>122</v>
      </c>
      <c r="L35" t="s">
        <v>498</v>
      </c>
      <c r="M35" t="s">
        <v>499</v>
      </c>
      <c r="N35" t="s">
        <v>499</v>
      </c>
    </row>
    <row r="36" spans="1:14">
      <c r="A36" t="s">
        <v>500</v>
      </c>
      <c r="B36" t="s">
        <v>427</v>
      </c>
      <c r="C36" t="s">
        <v>428</v>
      </c>
      <c r="D36" t="s">
        <v>501</v>
      </c>
      <c r="E36" t="s">
        <v>335</v>
      </c>
      <c r="F36" t="s">
        <v>501</v>
      </c>
      <c r="G36" t="s">
        <v>501</v>
      </c>
      <c r="H36" t="s">
        <v>316</v>
      </c>
      <c r="I36" t="s">
        <v>317</v>
      </c>
      <c r="J36" t="s">
        <v>424</v>
      </c>
      <c r="K36" t="s">
        <v>122</v>
      </c>
      <c r="L36" t="s">
        <v>386</v>
      </c>
      <c r="M36" t="s">
        <v>502</v>
      </c>
      <c r="N36" t="s">
        <v>502</v>
      </c>
    </row>
    <row r="37" spans="1:14">
      <c r="A37" t="s">
        <v>503</v>
      </c>
      <c r="B37" t="s">
        <v>504</v>
      </c>
      <c r="C37" t="s">
        <v>505</v>
      </c>
      <c r="D37" t="s">
        <v>506</v>
      </c>
      <c r="E37" t="s">
        <v>343</v>
      </c>
      <c r="F37" t="s">
        <v>506</v>
      </c>
      <c r="G37" t="s">
        <v>506</v>
      </c>
      <c r="H37" t="s">
        <v>306</v>
      </c>
      <c r="I37" t="s">
        <v>307</v>
      </c>
      <c r="J37" t="s">
        <v>507</v>
      </c>
      <c r="K37" t="s">
        <v>122</v>
      </c>
      <c r="L37" t="s">
        <v>358</v>
      </c>
      <c r="M37" t="s">
        <v>508</v>
      </c>
      <c r="N37" t="s">
        <v>508</v>
      </c>
    </row>
    <row r="38" spans="1:14">
      <c r="A38" t="s">
        <v>509</v>
      </c>
      <c r="B38" t="s">
        <v>510</v>
      </c>
      <c r="C38" t="s">
        <v>511</v>
      </c>
      <c r="D38" t="s">
        <v>512</v>
      </c>
      <c r="E38" t="s">
        <v>335</v>
      </c>
      <c r="F38" t="s">
        <v>512</v>
      </c>
      <c r="G38" t="s">
        <v>512</v>
      </c>
      <c r="H38" t="s">
        <v>316</v>
      </c>
      <c r="I38" t="s">
        <v>317</v>
      </c>
      <c r="J38" t="s">
        <v>424</v>
      </c>
      <c r="K38" t="s">
        <v>122</v>
      </c>
      <c r="L38" t="s">
        <v>451</v>
      </c>
      <c r="M38" t="s">
        <v>513</v>
      </c>
      <c r="N38" t="s">
        <v>513</v>
      </c>
    </row>
    <row r="39" spans="1:14">
      <c r="A39" t="s">
        <v>514</v>
      </c>
      <c r="B39" t="s">
        <v>515</v>
      </c>
      <c r="C39" t="s">
        <v>516</v>
      </c>
      <c r="D39" t="s">
        <v>517</v>
      </c>
      <c r="E39" t="s">
        <v>315</v>
      </c>
      <c r="F39" t="s">
        <v>517</v>
      </c>
      <c r="G39" t="s">
        <v>517</v>
      </c>
      <c r="H39" t="s">
        <v>306</v>
      </c>
      <c r="I39" t="s">
        <v>307</v>
      </c>
      <c r="J39" t="s">
        <v>376</v>
      </c>
      <c r="K39" t="s">
        <v>122</v>
      </c>
      <c r="L39" t="s">
        <v>350</v>
      </c>
      <c r="M39" t="s">
        <v>514</v>
      </c>
      <c r="N39" t="s">
        <v>514</v>
      </c>
    </row>
    <row r="40" spans="1:14">
      <c r="A40" t="s">
        <v>518</v>
      </c>
      <c r="B40" t="s">
        <v>519</v>
      </c>
      <c r="C40" t="s">
        <v>520</v>
      </c>
      <c r="D40" t="s">
        <v>521</v>
      </c>
      <c r="E40" t="s">
        <v>522</v>
      </c>
      <c r="F40" t="s">
        <v>521</v>
      </c>
      <c r="G40" t="s">
        <v>521</v>
      </c>
      <c r="H40" t="s">
        <v>306</v>
      </c>
      <c r="I40" t="s">
        <v>307</v>
      </c>
      <c r="J40" t="s">
        <v>210</v>
      </c>
      <c r="K40" t="s">
        <v>122</v>
      </c>
      <c r="L40" t="s">
        <v>368</v>
      </c>
      <c r="M40" t="s">
        <v>523</v>
      </c>
      <c r="N40" t="s">
        <v>523</v>
      </c>
    </row>
    <row r="41" spans="1:14">
      <c r="A41" t="s">
        <v>524</v>
      </c>
      <c r="B41" t="s">
        <v>525</v>
      </c>
      <c r="C41" t="s">
        <v>526</v>
      </c>
      <c r="D41" t="s">
        <v>527</v>
      </c>
      <c r="E41" t="s">
        <v>335</v>
      </c>
      <c r="F41" t="s">
        <v>527</v>
      </c>
      <c r="G41" t="s">
        <v>527</v>
      </c>
      <c r="H41" t="s">
        <v>316</v>
      </c>
      <c r="I41" t="s">
        <v>317</v>
      </c>
      <c r="J41" t="s">
        <v>424</v>
      </c>
      <c r="K41" t="s">
        <v>122</v>
      </c>
      <c r="L41" t="s">
        <v>498</v>
      </c>
      <c r="M41" t="s">
        <v>528</v>
      </c>
      <c r="N41" t="s">
        <v>528</v>
      </c>
    </row>
    <row r="42" spans="1:14">
      <c r="A42" t="s">
        <v>529</v>
      </c>
      <c r="B42" t="s">
        <v>469</v>
      </c>
      <c r="C42" t="s">
        <v>470</v>
      </c>
      <c r="D42" t="s">
        <v>530</v>
      </c>
      <c r="E42" t="s">
        <v>325</v>
      </c>
      <c r="F42" t="s">
        <v>530</v>
      </c>
      <c r="G42" t="s">
        <v>530</v>
      </c>
      <c r="H42" t="s">
        <v>316</v>
      </c>
      <c r="I42" t="s">
        <v>531</v>
      </c>
      <c r="J42" t="s">
        <v>328</v>
      </c>
      <c r="K42" t="s">
        <v>122</v>
      </c>
      <c r="L42" t="s">
        <v>329</v>
      </c>
      <c r="M42" t="s">
        <v>532</v>
      </c>
      <c r="N42" t="s">
        <v>532</v>
      </c>
    </row>
    <row r="43" spans="1:14">
      <c r="A43" t="s">
        <v>533</v>
      </c>
      <c r="B43" t="s">
        <v>534</v>
      </c>
      <c r="C43" t="s">
        <v>535</v>
      </c>
      <c r="D43" t="s">
        <v>536</v>
      </c>
      <c r="E43" t="s">
        <v>325</v>
      </c>
      <c r="F43" t="s">
        <v>536</v>
      </c>
      <c r="G43" t="s">
        <v>536</v>
      </c>
      <c r="H43" t="s">
        <v>306</v>
      </c>
      <c r="I43" t="s">
        <v>307</v>
      </c>
      <c r="J43" t="s">
        <v>397</v>
      </c>
      <c r="K43" t="s">
        <v>122</v>
      </c>
      <c r="L43" t="s">
        <v>537</v>
      </c>
      <c r="M43" t="s">
        <v>538</v>
      </c>
      <c r="N43" t="s">
        <v>538</v>
      </c>
    </row>
    <row r="44" spans="1:14">
      <c r="A44" t="s">
        <v>539</v>
      </c>
      <c r="B44" t="s">
        <v>540</v>
      </c>
      <c r="C44" t="s">
        <v>541</v>
      </c>
      <c r="D44" t="s">
        <v>542</v>
      </c>
      <c r="E44" t="s">
        <v>335</v>
      </c>
      <c r="F44" t="s">
        <v>543</v>
      </c>
      <c r="G44" t="s">
        <v>543</v>
      </c>
      <c r="H44" t="s">
        <v>316</v>
      </c>
      <c r="I44" t="s">
        <v>317</v>
      </c>
      <c r="J44" t="s">
        <v>376</v>
      </c>
      <c r="K44" t="s">
        <v>122</v>
      </c>
      <c r="L44" t="s">
        <v>368</v>
      </c>
      <c r="M44" t="s">
        <v>544</v>
      </c>
      <c r="N44" t="s">
        <v>544</v>
      </c>
    </row>
    <row r="45" spans="1:14">
      <c r="A45" t="s">
        <v>545</v>
      </c>
      <c r="B45" t="s">
        <v>546</v>
      </c>
      <c r="C45" t="s">
        <v>547</v>
      </c>
      <c r="D45" t="s">
        <v>548</v>
      </c>
      <c r="E45" t="s">
        <v>335</v>
      </c>
      <c r="F45" t="s">
        <v>548</v>
      </c>
      <c r="G45" t="s">
        <v>548</v>
      </c>
      <c r="H45" t="s">
        <v>316</v>
      </c>
      <c r="I45" t="s">
        <v>317</v>
      </c>
      <c r="J45" t="s">
        <v>318</v>
      </c>
      <c r="K45" t="s">
        <v>122</v>
      </c>
      <c r="L45" t="s">
        <v>350</v>
      </c>
      <c r="M45" t="s">
        <v>549</v>
      </c>
      <c r="N45" t="s">
        <v>549</v>
      </c>
    </row>
    <row r="46" spans="1:14">
      <c r="A46" t="s">
        <v>550</v>
      </c>
      <c r="B46" t="s">
        <v>551</v>
      </c>
      <c r="C46" t="s">
        <v>552</v>
      </c>
      <c r="D46" t="s">
        <v>553</v>
      </c>
      <c r="E46" t="s">
        <v>364</v>
      </c>
      <c r="F46" t="s">
        <v>553</v>
      </c>
      <c r="G46" t="s">
        <v>553</v>
      </c>
      <c r="H46" t="s">
        <v>316</v>
      </c>
      <c r="I46" t="s">
        <v>531</v>
      </c>
      <c r="J46" t="s">
        <v>318</v>
      </c>
      <c r="K46" t="s">
        <v>122</v>
      </c>
      <c r="L46" t="s">
        <v>368</v>
      </c>
      <c r="M46" t="s">
        <v>554</v>
      </c>
      <c r="N46" t="s">
        <v>554</v>
      </c>
    </row>
    <row r="47" spans="1:14">
      <c r="A47" t="s">
        <v>555</v>
      </c>
      <c r="B47" t="s">
        <v>556</v>
      </c>
      <c r="C47" t="s">
        <v>557</v>
      </c>
      <c r="D47" t="s">
        <v>558</v>
      </c>
      <c r="E47" t="s">
        <v>325</v>
      </c>
      <c r="F47" t="s">
        <v>558</v>
      </c>
      <c r="G47" t="s">
        <v>558</v>
      </c>
      <c r="H47" t="s">
        <v>306</v>
      </c>
      <c r="I47" t="s">
        <v>307</v>
      </c>
      <c r="J47" t="s">
        <v>357</v>
      </c>
      <c r="K47" t="s">
        <v>122</v>
      </c>
      <c r="L47" t="s">
        <v>358</v>
      </c>
      <c r="M47" t="s">
        <v>559</v>
      </c>
      <c r="N47" t="s">
        <v>559</v>
      </c>
    </row>
    <row r="48" spans="1:14">
      <c r="A48" t="s">
        <v>560</v>
      </c>
      <c r="B48" t="s">
        <v>561</v>
      </c>
      <c r="C48" t="s">
        <v>561</v>
      </c>
      <c r="D48" t="s">
        <v>562</v>
      </c>
      <c r="E48" t="s">
        <v>325</v>
      </c>
      <c r="F48" t="s">
        <v>562</v>
      </c>
      <c r="G48" t="s">
        <v>562</v>
      </c>
      <c r="H48" t="s">
        <v>431</v>
      </c>
      <c r="I48" t="s">
        <v>327</v>
      </c>
      <c r="J48" t="s">
        <v>210</v>
      </c>
      <c r="K48" t="s">
        <v>122</v>
      </c>
      <c r="L48" t="s">
        <v>381</v>
      </c>
      <c r="M48" t="s">
        <v>563</v>
      </c>
      <c r="N48" t="s">
        <v>563</v>
      </c>
    </row>
    <row r="49" spans="1:14">
      <c r="A49" t="s">
        <v>564</v>
      </c>
      <c r="B49" t="s">
        <v>561</v>
      </c>
      <c r="C49" t="s">
        <v>561</v>
      </c>
      <c r="D49" t="s">
        <v>562</v>
      </c>
      <c r="E49" t="s">
        <v>325</v>
      </c>
      <c r="F49" t="s">
        <v>562</v>
      </c>
      <c r="G49" t="s">
        <v>562</v>
      </c>
      <c r="H49" t="s">
        <v>431</v>
      </c>
      <c r="I49" t="s">
        <v>327</v>
      </c>
      <c r="J49" t="s">
        <v>328</v>
      </c>
      <c r="K49" t="s">
        <v>122</v>
      </c>
      <c r="L49" t="s">
        <v>381</v>
      </c>
      <c r="M49" t="s">
        <v>563</v>
      </c>
      <c r="N49" t="s">
        <v>563</v>
      </c>
    </row>
    <row r="50" spans="1:14">
      <c r="A50" t="s">
        <v>565</v>
      </c>
      <c r="B50" t="s">
        <v>566</v>
      </c>
      <c r="C50" t="s">
        <v>567</v>
      </c>
      <c r="D50" t="s">
        <v>568</v>
      </c>
      <c r="E50" t="s">
        <v>343</v>
      </c>
      <c r="F50" t="s">
        <v>568</v>
      </c>
      <c r="G50" t="s">
        <v>568</v>
      </c>
      <c r="H50" t="s">
        <v>431</v>
      </c>
      <c r="I50" t="s">
        <v>327</v>
      </c>
      <c r="J50" t="s">
        <v>357</v>
      </c>
      <c r="K50" t="s">
        <v>122</v>
      </c>
      <c r="L50" t="s">
        <v>386</v>
      </c>
      <c r="M50" t="s">
        <v>569</v>
      </c>
      <c r="N50" t="s">
        <v>569</v>
      </c>
    </row>
    <row r="51" spans="1:14">
      <c r="A51" t="s">
        <v>570</v>
      </c>
      <c r="B51" t="s">
        <v>571</v>
      </c>
      <c r="C51" t="s">
        <v>572</v>
      </c>
      <c r="D51" t="s">
        <v>573</v>
      </c>
      <c r="E51" t="s">
        <v>574</v>
      </c>
      <c r="F51" t="s">
        <v>573</v>
      </c>
      <c r="G51" t="s">
        <v>573</v>
      </c>
      <c r="H51" t="s">
        <v>326</v>
      </c>
      <c r="I51" t="s">
        <v>327</v>
      </c>
      <c r="J51" t="s">
        <v>328</v>
      </c>
      <c r="K51" t="s">
        <v>122</v>
      </c>
      <c r="L51" t="s">
        <v>329</v>
      </c>
      <c r="M51" t="s">
        <v>575</v>
      </c>
      <c r="N51" t="s">
        <v>575</v>
      </c>
    </row>
    <row r="52" spans="1:14">
      <c r="A52" t="s">
        <v>576</v>
      </c>
      <c r="B52" t="s">
        <v>577</v>
      </c>
      <c r="C52" t="s">
        <v>578</v>
      </c>
      <c r="D52" t="s">
        <v>579</v>
      </c>
      <c r="E52" t="s">
        <v>315</v>
      </c>
      <c r="F52" t="s">
        <v>579</v>
      </c>
      <c r="G52" t="s">
        <v>579</v>
      </c>
      <c r="H52" t="s">
        <v>316</v>
      </c>
      <c r="I52" t="s">
        <v>317</v>
      </c>
      <c r="J52" t="s">
        <v>318</v>
      </c>
      <c r="K52" t="s">
        <v>122</v>
      </c>
      <c r="L52" t="s">
        <v>309</v>
      </c>
      <c r="M52" t="s">
        <v>576</v>
      </c>
      <c r="N52" t="s">
        <v>576</v>
      </c>
    </row>
    <row r="53" spans="1:14">
      <c r="A53" t="s">
        <v>580</v>
      </c>
      <c r="B53" t="s">
        <v>434</v>
      </c>
      <c r="C53" t="s">
        <v>435</v>
      </c>
      <c r="D53" t="s">
        <v>581</v>
      </c>
      <c r="E53" t="s">
        <v>325</v>
      </c>
      <c r="F53" t="s">
        <v>581</v>
      </c>
      <c r="G53" t="s">
        <v>581</v>
      </c>
      <c r="H53" t="s">
        <v>431</v>
      </c>
      <c r="I53" t="s">
        <v>327</v>
      </c>
      <c r="J53" t="s">
        <v>424</v>
      </c>
      <c r="K53" t="s">
        <v>122</v>
      </c>
      <c r="L53" t="s">
        <v>386</v>
      </c>
      <c r="M53" t="s">
        <v>582</v>
      </c>
      <c r="N53" t="s">
        <v>582</v>
      </c>
    </row>
    <row r="54" spans="1:14">
      <c r="A54" t="s">
        <v>583</v>
      </c>
      <c r="B54" t="s">
        <v>504</v>
      </c>
      <c r="C54" t="s">
        <v>505</v>
      </c>
      <c r="D54" t="s">
        <v>584</v>
      </c>
      <c r="E54" t="s">
        <v>343</v>
      </c>
      <c r="F54" t="s">
        <v>584</v>
      </c>
      <c r="G54" t="s">
        <v>584</v>
      </c>
      <c r="H54" t="s">
        <v>316</v>
      </c>
      <c r="I54" t="s">
        <v>531</v>
      </c>
      <c r="J54" t="s">
        <v>328</v>
      </c>
      <c r="K54" t="s">
        <v>122</v>
      </c>
      <c r="L54" t="s">
        <v>368</v>
      </c>
      <c r="M54" t="s">
        <v>585</v>
      </c>
      <c r="N54" t="s">
        <v>585</v>
      </c>
    </row>
    <row r="55" spans="1:14">
      <c r="A55" t="s">
        <v>586</v>
      </c>
      <c r="B55" t="s">
        <v>587</v>
      </c>
      <c r="C55" t="s">
        <v>588</v>
      </c>
      <c r="D55" t="s">
        <v>584</v>
      </c>
      <c r="E55" t="s">
        <v>343</v>
      </c>
      <c r="F55" t="s">
        <v>584</v>
      </c>
      <c r="G55" t="s">
        <v>584</v>
      </c>
      <c r="H55" t="s">
        <v>316</v>
      </c>
      <c r="I55" t="s">
        <v>531</v>
      </c>
      <c r="J55" t="s">
        <v>397</v>
      </c>
      <c r="K55" t="s">
        <v>122</v>
      </c>
      <c r="L55" t="s">
        <v>386</v>
      </c>
      <c r="M55" t="s">
        <v>585</v>
      </c>
      <c r="N55" t="s">
        <v>585</v>
      </c>
    </row>
    <row r="56" spans="1:14">
      <c r="A56" t="s">
        <v>589</v>
      </c>
      <c r="B56" t="s">
        <v>590</v>
      </c>
      <c r="C56" t="s">
        <v>591</v>
      </c>
      <c r="D56" t="s">
        <v>592</v>
      </c>
      <c r="E56" t="s">
        <v>335</v>
      </c>
      <c r="F56" t="s">
        <v>592</v>
      </c>
      <c r="G56" t="s">
        <v>592</v>
      </c>
      <c r="H56" t="s">
        <v>316</v>
      </c>
      <c r="I56" t="s">
        <v>317</v>
      </c>
      <c r="J56" t="s">
        <v>318</v>
      </c>
      <c r="K56" t="s">
        <v>122</v>
      </c>
      <c r="L56" t="s">
        <v>381</v>
      </c>
      <c r="M56" t="s">
        <v>593</v>
      </c>
      <c r="N56" t="s">
        <v>593</v>
      </c>
    </row>
    <row r="57" spans="1:14">
      <c r="A57" t="s">
        <v>594</v>
      </c>
      <c r="B57" t="s">
        <v>540</v>
      </c>
      <c r="C57" t="s">
        <v>541</v>
      </c>
      <c r="D57" t="s">
        <v>542</v>
      </c>
      <c r="E57" t="s">
        <v>335</v>
      </c>
      <c r="F57" t="s">
        <v>542</v>
      </c>
      <c r="G57" t="s">
        <v>542</v>
      </c>
      <c r="H57" t="s">
        <v>316</v>
      </c>
      <c r="I57" t="s">
        <v>317</v>
      </c>
      <c r="J57" t="s">
        <v>318</v>
      </c>
      <c r="K57" t="s">
        <v>122</v>
      </c>
      <c r="L57" t="s">
        <v>309</v>
      </c>
      <c r="M57" t="s">
        <v>595</v>
      </c>
      <c r="N57" t="s">
        <v>595</v>
      </c>
    </row>
    <row r="58" spans="1:14">
      <c r="A58" t="s">
        <v>596</v>
      </c>
      <c r="B58" t="s">
        <v>597</v>
      </c>
      <c r="C58" t="s">
        <v>598</v>
      </c>
      <c r="D58" t="s">
        <v>599</v>
      </c>
      <c r="E58" t="s">
        <v>335</v>
      </c>
      <c r="F58" t="s">
        <v>599</v>
      </c>
      <c r="G58" t="s">
        <v>599</v>
      </c>
      <c r="H58" t="s">
        <v>316</v>
      </c>
      <c r="I58" t="s">
        <v>531</v>
      </c>
      <c r="J58" t="s">
        <v>318</v>
      </c>
      <c r="K58" t="s">
        <v>122</v>
      </c>
      <c r="L58" t="s">
        <v>368</v>
      </c>
      <c r="M58" t="s">
        <v>600</v>
      </c>
      <c r="N58" t="s">
        <v>600</v>
      </c>
    </row>
    <row r="59" spans="1:14">
      <c r="A59" t="s">
        <v>601</v>
      </c>
      <c r="B59" t="s">
        <v>602</v>
      </c>
      <c r="C59" t="s">
        <v>603</v>
      </c>
      <c r="D59" t="s">
        <v>604</v>
      </c>
      <c r="E59" t="s">
        <v>364</v>
      </c>
      <c r="F59" t="s">
        <v>604</v>
      </c>
      <c r="G59" t="s">
        <v>604</v>
      </c>
      <c r="H59" t="s">
        <v>316</v>
      </c>
      <c r="I59" t="s">
        <v>317</v>
      </c>
      <c r="J59" t="s">
        <v>418</v>
      </c>
      <c r="K59" t="s">
        <v>122</v>
      </c>
      <c r="L59" t="s">
        <v>605</v>
      </c>
      <c r="M59" t="s">
        <v>606</v>
      </c>
      <c r="N59" t="s">
        <v>606</v>
      </c>
    </row>
    <row r="60" spans="1:14">
      <c r="A60" t="s">
        <v>607</v>
      </c>
      <c r="B60" t="s">
        <v>608</v>
      </c>
      <c r="C60" t="s">
        <v>609</v>
      </c>
      <c r="D60" t="s">
        <v>610</v>
      </c>
      <c r="E60" t="s">
        <v>611</v>
      </c>
      <c r="F60" t="s">
        <v>610</v>
      </c>
      <c r="G60" t="s">
        <v>610</v>
      </c>
      <c r="H60" t="s">
        <v>306</v>
      </c>
      <c r="I60" t="s">
        <v>612</v>
      </c>
      <c r="J60" t="s">
        <v>424</v>
      </c>
      <c r="K60" t="s">
        <v>122</v>
      </c>
      <c r="L60" t="s">
        <v>451</v>
      </c>
      <c r="M60" t="s">
        <v>613</v>
      </c>
      <c r="N60" t="s">
        <v>613</v>
      </c>
    </row>
    <row r="61" spans="1:14">
      <c r="A61" t="s">
        <v>614</v>
      </c>
      <c r="B61" t="s">
        <v>551</v>
      </c>
      <c r="C61" t="s">
        <v>615</v>
      </c>
      <c r="D61" t="s">
        <v>616</v>
      </c>
      <c r="E61" t="s">
        <v>315</v>
      </c>
      <c r="F61" t="s">
        <v>617</v>
      </c>
      <c r="G61" t="s">
        <v>617</v>
      </c>
      <c r="H61" t="s">
        <v>316</v>
      </c>
      <c r="I61" t="s">
        <v>327</v>
      </c>
      <c r="J61" t="s">
        <v>318</v>
      </c>
      <c r="K61" t="s">
        <v>122</v>
      </c>
      <c r="L61" t="s">
        <v>368</v>
      </c>
      <c r="M61" t="s">
        <v>618</v>
      </c>
      <c r="N61" t="s">
        <v>618</v>
      </c>
    </row>
    <row r="62" spans="1:14">
      <c r="A62" t="s">
        <v>619</v>
      </c>
      <c r="B62" t="s">
        <v>620</v>
      </c>
      <c r="C62" t="s">
        <v>621</v>
      </c>
      <c r="D62" t="s">
        <v>622</v>
      </c>
      <c r="E62" t="s">
        <v>325</v>
      </c>
      <c r="F62" t="s">
        <v>622</v>
      </c>
      <c r="G62" t="s">
        <v>622</v>
      </c>
      <c r="H62" t="s">
        <v>306</v>
      </c>
      <c r="I62" t="s">
        <v>307</v>
      </c>
      <c r="J62" t="s">
        <v>424</v>
      </c>
      <c r="K62" t="s">
        <v>122</v>
      </c>
      <c r="L62" t="s">
        <v>386</v>
      </c>
      <c r="M62" t="s">
        <v>623</v>
      </c>
      <c r="N62" t="s">
        <v>623</v>
      </c>
    </row>
    <row r="63" spans="1:14">
      <c r="A63" t="s">
        <v>624</v>
      </c>
      <c r="B63" t="s">
        <v>625</v>
      </c>
      <c r="C63" t="s">
        <v>626</v>
      </c>
      <c r="D63" t="s">
        <v>627</v>
      </c>
      <c r="E63" t="s">
        <v>325</v>
      </c>
      <c r="F63" t="s">
        <v>627</v>
      </c>
      <c r="G63" t="s">
        <v>627</v>
      </c>
      <c r="H63" t="s">
        <v>316</v>
      </c>
      <c r="I63" t="s">
        <v>317</v>
      </c>
      <c r="J63" t="s">
        <v>397</v>
      </c>
      <c r="K63" t="s">
        <v>122</v>
      </c>
      <c r="L63" t="s">
        <v>350</v>
      </c>
      <c r="M63" t="s">
        <v>628</v>
      </c>
      <c r="N63" t="s">
        <v>628</v>
      </c>
    </row>
    <row r="64" spans="1:14">
      <c r="A64" t="s">
        <v>629</v>
      </c>
      <c r="B64" t="s">
        <v>439</v>
      </c>
      <c r="C64" t="s">
        <v>440</v>
      </c>
      <c r="D64" t="s">
        <v>630</v>
      </c>
      <c r="E64" t="s">
        <v>325</v>
      </c>
      <c r="F64" t="s">
        <v>630</v>
      </c>
      <c r="G64" t="s">
        <v>630</v>
      </c>
      <c r="H64" t="s">
        <v>306</v>
      </c>
      <c r="I64" t="s">
        <v>307</v>
      </c>
      <c r="J64" t="s">
        <v>424</v>
      </c>
      <c r="K64" t="s">
        <v>122</v>
      </c>
      <c r="L64" t="s">
        <v>451</v>
      </c>
      <c r="M64" t="s">
        <v>631</v>
      </c>
      <c r="N64" t="s">
        <v>631</v>
      </c>
    </row>
    <row r="65" spans="1:14">
      <c r="A65" t="s">
        <v>632</v>
      </c>
      <c r="B65" t="s">
        <v>633</v>
      </c>
      <c r="C65" t="s">
        <v>634</v>
      </c>
      <c r="D65" t="s">
        <v>635</v>
      </c>
      <c r="E65" t="s">
        <v>480</v>
      </c>
      <c r="F65" t="s">
        <v>635</v>
      </c>
      <c r="G65" t="s">
        <v>635</v>
      </c>
      <c r="H65" t="s">
        <v>431</v>
      </c>
      <c r="I65" t="s">
        <v>327</v>
      </c>
      <c r="J65" t="s">
        <v>357</v>
      </c>
      <c r="K65" t="s">
        <v>122</v>
      </c>
      <c r="L65" t="s">
        <v>487</v>
      </c>
      <c r="M65" t="s">
        <v>636</v>
      </c>
      <c r="N65" t="s">
        <v>636</v>
      </c>
    </row>
    <row r="66" spans="1:14">
      <c r="A66" t="s">
        <v>637</v>
      </c>
      <c r="B66" t="s">
        <v>638</v>
      </c>
      <c r="C66" t="s">
        <v>639</v>
      </c>
      <c r="D66" t="s">
        <v>423</v>
      </c>
      <c r="E66" t="s">
        <v>343</v>
      </c>
      <c r="F66" t="s">
        <v>423</v>
      </c>
      <c r="G66" t="s">
        <v>423</v>
      </c>
      <c r="H66" t="s">
        <v>316</v>
      </c>
      <c r="I66" t="s">
        <v>317</v>
      </c>
      <c r="J66" t="s">
        <v>418</v>
      </c>
      <c r="K66" t="s">
        <v>122</v>
      </c>
      <c r="L66" t="s">
        <v>358</v>
      </c>
      <c r="M66" t="s">
        <v>640</v>
      </c>
      <c r="N66" t="s">
        <v>640</v>
      </c>
    </row>
    <row r="67" spans="1:14">
      <c r="A67" t="s">
        <v>641</v>
      </c>
      <c r="B67" t="s">
        <v>642</v>
      </c>
      <c r="C67" t="s">
        <v>643</v>
      </c>
      <c r="D67" t="s">
        <v>644</v>
      </c>
      <c r="E67" t="s">
        <v>335</v>
      </c>
      <c r="F67" t="s">
        <v>644</v>
      </c>
      <c r="G67" t="s">
        <v>644</v>
      </c>
      <c r="H67" t="s">
        <v>316</v>
      </c>
      <c r="I67" t="s">
        <v>317</v>
      </c>
      <c r="J67" t="s">
        <v>424</v>
      </c>
      <c r="K67" t="s">
        <v>122</v>
      </c>
      <c r="L67" t="s">
        <v>451</v>
      </c>
      <c r="M67" t="s">
        <v>645</v>
      </c>
      <c r="N67" t="s">
        <v>645</v>
      </c>
    </row>
    <row r="68" spans="1:14">
      <c r="A68" t="s">
        <v>646</v>
      </c>
      <c r="B68" t="s">
        <v>647</v>
      </c>
      <c r="C68" t="s">
        <v>648</v>
      </c>
      <c r="D68" t="s">
        <v>649</v>
      </c>
      <c r="E68" t="s">
        <v>315</v>
      </c>
      <c r="F68" t="s">
        <v>649</v>
      </c>
      <c r="G68" t="s">
        <v>649</v>
      </c>
      <c r="H68" t="s">
        <v>316</v>
      </c>
      <c r="I68" t="s">
        <v>317</v>
      </c>
      <c r="J68" t="s">
        <v>424</v>
      </c>
      <c r="K68" t="s">
        <v>122</v>
      </c>
      <c r="L68" t="s">
        <v>381</v>
      </c>
      <c r="M68" t="s">
        <v>650</v>
      </c>
      <c r="N68" t="s">
        <v>650</v>
      </c>
    </row>
    <row r="69" spans="1:14">
      <c r="A69" t="s">
        <v>651</v>
      </c>
      <c r="B69" t="s">
        <v>652</v>
      </c>
      <c r="C69" t="s">
        <v>653</v>
      </c>
      <c r="D69" t="s">
        <v>654</v>
      </c>
      <c r="E69" t="s">
        <v>655</v>
      </c>
      <c r="F69" t="s">
        <v>654</v>
      </c>
      <c r="G69" t="s">
        <v>654</v>
      </c>
      <c r="H69" t="s">
        <v>306</v>
      </c>
      <c r="I69" t="s">
        <v>307</v>
      </c>
      <c r="J69" t="s">
        <v>424</v>
      </c>
      <c r="K69" t="s">
        <v>122</v>
      </c>
      <c r="L69" t="s">
        <v>386</v>
      </c>
      <c r="M69" t="s">
        <v>656</v>
      </c>
      <c r="N69" t="s">
        <v>656</v>
      </c>
    </row>
    <row r="70" spans="1:14">
      <c r="A70" t="s">
        <v>657</v>
      </c>
      <c r="B70" t="s">
        <v>658</v>
      </c>
      <c r="C70" t="s">
        <v>659</v>
      </c>
      <c r="D70" t="s">
        <v>660</v>
      </c>
      <c r="E70" t="s">
        <v>364</v>
      </c>
      <c r="F70" t="s">
        <v>661</v>
      </c>
      <c r="G70" t="s">
        <v>661</v>
      </c>
      <c r="H70" t="s">
        <v>326</v>
      </c>
      <c r="I70" t="s">
        <v>327</v>
      </c>
      <c r="J70" t="s">
        <v>318</v>
      </c>
      <c r="K70" t="s">
        <v>122</v>
      </c>
      <c r="L70" t="s">
        <v>605</v>
      </c>
      <c r="M70" t="s">
        <v>662</v>
      </c>
      <c r="N70" t="s">
        <v>662</v>
      </c>
    </row>
    <row r="71" spans="1:14">
      <c r="A71" t="s">
        <v>663</v>
      </c>
      <c r="B71" t="s">
        <v>322</v>
      </c>
      <c r="C71" t="s">
        <v>323</v>
      </c>
      <c r="D71" t="s">
        <v>664</v>
      </c>
      <c r="E71" t="s">
        <v>325</v>
      </c>
      <c r="F71" t="s">
        <v>664</v>
      </c>
      <c r="G71" t="s">
        <v>664</v>
      </c>
      <c r="H71" t="s">
        <v>306</v>
      </c>
      <c r="I71" t="s">
        <v>472</v>
      </c>
      <c r="J71" t="s">
        <v>328</v>
      </c>
      <c r="K71" t="s">
        <v>122</v>
      </c>
      <c r="L71" t="s">
        <v>329</v>
      </c>
      <c r="M71" t="s">
        <v>665</v>
      </c>
      <c r="N71" t="s">
        <v>665</v>
      </c>
    </row>
    <row r="72" spans="1:14">
      <c r="A72" t="s">
        <v>666</v>
      </c>
      <c r="B72" t="s">
        <v>667</v>
      </c>
      <c r="C72" t="s">
        <v>668</v>
      </c>
      <c r="D72" t="s">
        <v>669</v>
      </c>
      <c r="E72" t="s">
        <v>364</v>
      </c>
      <c r="F72" t="s">
        <v>669</v>
      </c>
      <c r="G72" t="s">
        <v>669</v>
      </c>
      <c r="H72" t="s">
        <v>316</v>
      </c>
      <c r="I72" t="s">
        <v>317</v>
      </c>
      <c r="J72" t="s">
        <v>424</v>
      </c>
      <c r="K72" t="s">
        <v>122</v>
      </c>
      <c r="L72" t="s">
        <v>386</v>
      </c>
      <c r="M72" t="s">
        <v>670</v>
      </c>
      <c r="N72" t="s">
        <v>670</v>
      </c>
    </row>
    <row r="73" spans="1:14">
      <c r="A73" t="s">
        <v>671</v>
      </c>
      <c r="B73" t="s">
        <v>672</v>
      </c>
      <c r="C73" t="s">
        <v>673</v>
      </c>
      <c r="D73" t="s">
        <v>674</v>
      </c>
      <c r="E73" t="s">
        <v>335</v>
      </c>
      <c r="F73" t="s">
        <v>674</v>
      </c>
      <c r="G73" t="s">
        <v>674</v>
      </c>
      <c r="H73" t="s">
        <v>316</v>
      </c>
      <c r="I73" t="s">
        <v>317</v>
      </c>
      <c r="J73" t="s">
        <v>318</v>
      </c>
      <c r="K73" t="s">
        <v>122</v>
      </c>
      <c r="L73" t="s">
        <v>675</v>
      </c>
      <c r="M73" t="s">
        <v>676</v>
      </c>
      <c r="N73" t="s">
        <v>676</v>
      </c>
    </row>
    <row r="74" spans="1:14">
      <c r="A74" t="s">
        <v>677</v>
      </c>
      <c r="B74" t="s">
        <v>678</v>
      </c>
      <c r="C74" t="s">
        <v>679</v>
      </c>
      <c r="D74" t="s">
        <v>649</v>
      </c>
      <c r="E74" t="s">
        <v>335</v>
      </c>
      <c r="F74" t="s">
        <v>649</v>
      </c>
      <c r="G74" t="s">
        <v>649</v>
      </c>
      <c r="H74" t="s">
        <v>316</v>
      </c>
      <c r="I74" t="s">
        <v>317</v>
      </c>
      <c r="J74" t="s">
        <v>318</v>
      </c>
      <c r="K74" t="s">
        <v>122</v>
      </c>
      <c r="L74" t="s">
        <v>350</v>
      </c>
      <c r="M74" t="s">
        <v>677</v>
      </c>
      <c r="N74" t="s">
        <v>677</v>
      </c>
    </row>
    <row r="75" spans="1:14">
      <c r="A75" t="s">
        <v>680</v>
      </c>
      <c r="B75" t="s">
        <v>681</v>
      </c>
      <c r="C75" t="s">
        <v>682</v>
      </c>
      <c r="D75" t="s">
        <v>683</v>
      </c>
      <c r="E75" t="s">
        <v>343</v>
      </c>
      <c r="F75" t="s">
        <v>683</v>
      </c>
      <c r="G75" t="s">
        <v>683</v>
      </c>
      <c r="H75" t="s">
        <v>306</v>
      </c>
      <c r="I75" t="s">
        <v>307</v>
      </c>
      <c r="J75" t="s">
        <v>376</v>
      </c>
      <c r="K75" t="s">
        <v>122</v>
      </c>
      <c r="L75" t="s">
        <v>350</v>
      </c>
      <c r="M75" t="s">
        <v>684</v>
      </c>
      <c r="N75" t="s">
        <v>684</v>
      </c>
    </row>
    <row r="76" spans="1:14">
      <c r="A76" t="s">
        <v>685</v>
      </c>
      <c r="B76" t="s">
        <v>469</v>
      </c>
      <c r="C76" t="s">
        <v>470</v>
      </c>
      <c r="D76" t="s">
        <v>686</v>
      </c>
      <c r="E76" t="s">
        <v>325</v>
      </c>
      <c r="F76" t="s">
        <v>687</v>
      </c>
      <c r="G76" t="s">
        <v>687</v>
      </c>
      <c r="H76" t="s">
        <v>316</v>
      </c>
      <c r="I76" t="s">
        <v>531</v>
      </c>
      <c r="J76" t="s">
        <v>328</v>
      </c>
      <c r="K76" t="s">
        <v>122</v>
      </c>
      <c r="L76" t="s">
        <v>498</v>
      </c>
      <c r="M76" t="s">
        <v>688</v>
      </c>
      <c r="N76" t="s">
        <v>688</v>
      </c>
    </row>
    <row r="77" spans="1:14">
      <c r="A77" t="s">
        <v>689</v>
      </c>
      <c r="B77" t="s">
        <v>690</v>
      </c>
      <c r="C77" t="s">
        <v>691</v>
      </c>
      <c r="D77" t="s">
        <v>692</v>
      </c>
      <c r="E77" t="s">
        <v>325</v>
      </c>
      <c r="F77" t="s">
        <v>692</v>
      </c>
      <c r="G77" t="s">
        <v>692</v>
      </c>
      <c r="H77" t="s">
        <v>306</v>
      </c>
      <c r="I77" t="s">
        <v>612</v>
      </c>
      <c r="J77" t="s">
        <v>357</v>
      </c>
      <c r="K77" t="s">
        <v>122</v>
      </c>
      <c r="L77" t="s">
        <v>309</v>
      </c>
      <c r="M77" t="s">
        <v>693</v>
      </c>
      <c r="N77" t="s">
        <v>693</v>
      </c>
    </row>
    <row r="78" spans="1:14">
      <c r="A78" t="s">
        <v>694</v>
      </c>
      <c r="B78" t="s">
        <v>695</v>
      </c>
      <c r="C78" t="s">
        <v>696</v>
      </c>
      <c r="D78" t="s">
        <v>697</v>
      </c>
      <c r="E78" t="s">
        <v>335</v>
      </c>
      <c r="F78" t="s">
        <v>697</v>
      </c>
      <c r="G78" t="s">
        <v>697</v>
      </c>
      <c r="H78" t="s">
        <v>316</v>
      </c>
      <c r="I78" t="s">
        <v>317</v>
      </c>
      <c r="J78" t="s">
        <v>318</v>
      </c>
      <c r="K78" t="s">
        <v>122</v>
      </c>
      <c r="L78" t="s">
        <v>381</v>
      </c>
      <c r="M78" t="s">
        <v>698</v>
      </c>
      <c r="N78" t="s">
        <v>698</v>
      </c>
    </row>
    <row r="79" spans="1:14">
      <c r="A79" t="s">
        <v>699</v>
      </c>
      <c r="B79" t="s">
        <v>469</v>
      </c>
      <c r="C79" t="s">
        <v>470</v>
      </c>
      <c r="D79" t="s">
        <v>700</v>
      </c>
      <c r="E79" t="s">
        <v>325</v>
      </c>
      <c r="F79" t="s">
        <v>701</v>
      </c>
      <c r="G79" t="s">
        <v>701</v>
      </c>
      <c r="H79" t="s">
        <v>316</v>
      </c>
      <c r="I79" t="s">
        <v>317</v>
      </c>
      <c r="J79" t="s">
        <v>328</v>
      </c>
      <c r="K79" t="s">
        <v>122</v>
      </c>
      <c r="L79" t="s">
        <v>368</v>
      </c>
      <c r="M79" t="s">
        <v>702</v>
      </c>
      <c r="N79" t="s">
        <v>702</v>
      </c>
    </row>
    <row r="80" spans="1:14">
      <c r="A80" t="s">
        <v>703</v>
      </c>
      <c r="B80" t="s">
        <v>561</v>
      </c>
      <c r="C80" t="s">
        <v>561</v>
      </c>
      <c r="D80" t="s">
        <v>704</v>
      </c>
      <c r="E80" t="s">
        <v>343</v>
      </c>
      <c r="F80" t="s">
        <v>704</v>
      </c>
      <c r="G80" t="s">
        <v>704</v>
      </c>
      <c r="H80" t="s">
        <v>306</v>
      </c>
      <c r="I80" t="s">
        <v>307</v>
      </c>
      <c r="J80" t="s">
        <v>210</v>
      </c>
      <c r="K80" t="s">
        <v>122</v>
      </c>
      <c r="L80" t="s">
        <v>350</v>
      </c>
      <c r="M80" t="s">
        <v>703</v>
      </c>
      <c r="N80" t="s">
        <v>703</v>
      </c>
    </row>
    <row r="81" spans="1:14">
      <c r="A81" t="s">
        <v>705</v>
      </c>
      <c r="B81" t="s">
        <v>706</v>
      </c>
      <c r="C81" t="s">
        <v>707</v>
      </c>
      <c r="D81" t="s">
        <v>708</v>
      </c>
      <c r="E81" t="s">
        <v>315</v>
      </c>
      <c r="F81" t="s">
        <v>709</v>
      </c>
      <c r="G81" t="s">
        <v>709</v>
      </c>
      <c r="H81" t="s">
        <v>316</v>
      </c>
      <c r="I81" t="s">
        <v>317</v>
      </c>
      <c r="J81" t="s">
        <v>424</v>
      </c>
      <c r="K81" t="s">
        <v>122</v>
      </c>
      <c r="L81" t="s">
        <v>498</v>
      </c>
      <c r="M81" t="s">
        <v>710</v>
      </c>
      <c r="N81" t="s">
        <v>710</v>
      </c>
    </row>
    <row r="82" spans="1:14">
      <c r="A82" t="s">
        <v>711</v>
      </c>
      <c r="B82" t="s">
        <v>712</v>
      </c>
      <c r="C82" t="s">
        <v>713</v>
      </c>
      <c r="D82" t="s">
        <v>714</v>
      </c>
      <c r="E82" t="s">
        <v>335</v>
      </c>
      <c r="F82" t="s">
        <v>714</v>
      </c>
      <c r="G82" t="s">
        <v>714</v>
      </c>
      <c r="H82" t="s">
        <v>316</v>
      </c>
      <c r="I82" t="s">
        <v>317</v>
      </c>
      <c r="J82" t="s">
        <v>376</v>
      </c>
      <c r="K82" t="s">
        <v>122</v>
      </c>
      <c r="L82" t="s">
        <v>350</v>
      </c>
      <c r="M82" t="s">
        <v>711</v>
      </c>
      <c r="N82" t="s">
        <v>711</v>
      </c>
    </row>
    <row r="83" spans="1:14">
      <c r="A83" t="s">
        <v>715</v>
      </c>
      <c r="B83" t="s">
        <v>716</v>
      </c>
      <c r="C83" t="s">
        <v>717</v>
      </c>
      <c r="D83" t="s">
        <v>718</v>
      </c>
      <c r="E83" t="s">
        <v>335</v>
      </c>
      <c r="F83" t="s">
        <v>718</v>
      </c>
      <c r="G83" t="s">
        <v>718</v>
      </c>
      <c r="H83" t="s">
        <v>316</v>
      </c>
      <c r="I83" t="s">
        <v>317</v>
      </c>
      <c r="J83" t="s">
        <v>318</v>
      </c>
      <c r="K83" t="s">
        <v>122</v>
      </c>
      <c r="L83" t="s">
        <v>719</v>
      </c>
      <c r="M83" t="s">
        <v>720</v>
      </c>
      <c r="N83" t="s">
        <v>720</v>
      </c>
    </row>
    <row r="84" spans="1:14">
      <c r="A84" t="s">
        <v>721</v>
      </c>
      <c r="B84" t="s">
        <v>722</v>
      </c>
      <c r="C84" t="s">
        <v>723</v>
      </c>
      <c r="D84" t="s">
        <v>724</v>
      </c>
      <c r="E84" t="s">
        <v>335</v>
      </c>
      <c r="F84" t="s">
        <v>725</v>
      </c>
      <c r="G84" t="s">
        <v>725</v>
      </c>
      <c r="H84" t="s">
        <v>316</v>
      </c>
      <c r="I84" t="s">
        <v>317</v>
      </c>
      <c r="J84" t="s">
        <v>308</v>
      </c>
      <c r="K84" t="s">
        <v>122</v>
      </c>
      <c r="L84" t="s">
        <v>381</v>
      </c>
      <c r="M84" t="s">
        <v>726</v>
      </c>
      <c r="N84" t="s">
        <v>726</v>
      </c>
    </row>
    <row r="85" spans="1:14">
      <c r="A85" t="s">
        <v>727</v>
      </c>
      <c r="B85" t="s">
        <v>667</v>
      </c>
      <c r="C85" t="s">
        <v>668</v>
      </c>
      <c r="D85" t="s">
        <v>728</v>
      </c>
      <c r="E85" t="s">
        <v>335</v>
      </c>
      <c r="F85" t="s">
        <v>728</v>
      </c>
      <c r="G85" t="s">
        <v>728</v>
      </c>
      <c r="H85" t="s">
        <v>316</v>
      </c>
      <c r="I85" t="s">
        <v>317</v>
      </c>
      <c r="J85" t="s">
        <v>318</v>
      </c>
      <c r="K85" t="s">
        <v>122</v>
      </c>
      <c r="L85" t="s">
        <v>368</v>
      </c>
      <c r="M85" t="s">
        <v>729</v>
      </c>
      <c r="N85" t="s">
        <v>729</v>
      </c>
    </row>
    <row r="86" spans="1:14">
      <c r="A86" t="s">
        <v>730</v>
      </c>
      <c r="B86" t="s">
        <v>731</v>
      </c>
      <c r="C86" t="s">
        <v>732</v>
      </c>
      <c r="D86" t="s">
        <v>733</v>
      </c>
      <c r="E86" t="s">
        <v>343</v>
      </c>
      <c r="F86" t="s">
        <v>733</v>
      </c>
      <c r="G86" t="s">
        <v>733</v>
      </c>
      <c r="H86" t="s">
        <v>316</v>
      </c>
      <c r="I86" t="s">
        <v>531</v>
      </c>
      <c r="J86" t="s">
        <v>318</v>
      </c>
      <c r="K86" t="s">
        <v>122</v>
      </c>
      <c r="L86" t="s">
        <v>734</v>
      </c>
      <c r="M86" t="s">
        <v>735</v>
      </c>
      <c r="N86" t="s">
        <v>735</v>
      </c>
    </row>
    <row r="87" spans="1:14">
      <c r="A87" t="s">
        <v>736</v>
      </c>
      <c r="B87" t="s">
        <v>737</v>
      </c>
      <c r="C87" t="s">
        <v>738</v>
      </c>
      <c r="D87" t="s">
        <v>739</v>
      </c>
      <c r="E87" t="s">
        <v>740</v>
      </c>
      <c r="F87" t="s">
        <v>739</v>
      </c>
      <c r="G87" t="s">
        <v>739</v>
      </c>
      <c r="H87" t="s">
        <v>316</v>
      </c>
      <c r="I87" t="s">
        <v>317</v>
      </c>
      <c r="J87" t="s">
        <v>424</v>
      </c>
      <c r="K87" t="s">
        <v>122</v>
      </c>
      <c r="L87" t="s">
        <v>381</v>
      </c>
      <c r="M87" t="s">
        <v>741</v>
      </c>
      <c r="N87" t="s">
        <v>741</v>
      </c>
    </row>
    <row r="88" spans="1:14">
      <c r="A88" t="s">
        <v>742</v>
      </c>
      <c r="B88" t="s">
        <v>743</v>
      </c>
      <c r="C88" t="s">
        <v>744</v>
      </c>
      <c r="D88" t="s">
        <v>745</v>
      </c>
      <c r="E88" t="s">
        <v>335</v>
      </c>
      <c r="F88" t="s">
        <v>745</v>
      </c>
      <c r="G88" t="s">
        <v>745</v>
      </c>
      <c r="H88" t="s">
        <v>316</v>
      </c>
      <c r="I88" t="s">
        <v>317</v>
      </c>
      <c r="J88" t="s">
        <v>424</v>
      </c>
      <c r="K88" t="s">
        <v>122</v>
      </c>
      <c r="L88" t="s">
        <v>386</v>
      </c>
      <c r="M88" t="s">
        <v>746</v>
      </c>
      <c r="N88" t="s">
        <v>746</v>
      </c>
    </row>
    <row r="89" spans="1:14">
      <c r="A89" t="s">
        <v>747</v>
      </c>
      <c r="B89" t="s">
        <v>748</v>
      </c>
      <c r="C89" t="s">
        <v>749</v>
      </c>
      <c r="D89" t="s">
        <v>750</v>
      </c>
      <c r="E89" t="s">
        <v>751</v>
      </c>
      <c r="F89" t="s">
        <v>750</v>
      </c>
      <c r="G89" t="s">
        <v>750</v>
      </c>
      <c r="H89" t="s">
        <v>326</v>
      </c>
      <c r="I89" t="s">
        <v>327</v>
      </c>
      <c r="J89" t="s">
        <v>308</v>
      </c>
      <c r="K89" t="s">
        <v>122</v>
      </c>
      <c r="L89" t="s">
        <v>381</v>
      </c>
      <c r="M89" t="s">
        <v>752</v>
      </c>
      <c r="N89" t="s">
        <v>752</v>
      </c>
    </row>
    <row r="90" spans="1:14">
      <c r="A90" t="s">
        <v>753</v>
      </c>
      <c r="B90" t="s">
        <v>754</v>
      </c>
      <c r="C90" t="s">
        <v>755</v>
      </c>
      <c r="D90" t="s">
        <v>756</v>
      </c>
      <c r="E90" t="s">
        <v>325</v>
      </c>
      <c r="F90" t="s">
        <v>756</v>
      </c>
      <c r="G90" t="s">
        <v>756</v>
      </c>
      <c r="H90" t="s">
        <v>316</v>
      </c>
      <c r="I90" t="s">
        <v>317</v>
      </c>
      <c r="J90" t="s">
        <v>376</v>
      </c>
      <c r="K90" t="s">
        <v>122</v>
      </c>
      <c r="L90" t="s">
        <v>327</v>
      </c>
      <c r="M90" t="s">
        <v>757</v>
      </c>
      <c r="N90" t="s">
        <v>757</v>
      </c>
    </row>
    <row r="91" spans="1:14">
      <c r="A91" t="s">
        <v>758</v>
      </c>
      <c r="B91" t="s">
        <v>759</v>
      </c>
      <c r="C91" t="s">
        <v>760</v>
      </c>
      <c r="D91" t="s">
        <v>761</v>
      </c>
      <c r="E91" t="s">
        <v>325</v>
      </c>
      <c r="F91" t="s">
        <v>761</v>
      </c>
      <c r="G91" t="s">
        <v>761</v>
      </c>
      <c r="H91" t="s">
        <v>316</v>
      </c>
      <c r="I91" t="s">
        <v>317</v>
      </c>
      <c r="J91" t="s">
        <v>308</v>
      </c>
      <c r="K91" t="s">
        <v>122</v>
      </c>
      <c r="L91" t="s">
        <v>381</v>
      </c>
      <c r="M91" t="s">
        <v>762</v>
      </c>
      <c r="N91" t="s">
        <v>762</v>
      </c>
    </row>
    <row r="92" spans="1:14">
      <c r="A92" t="s">
        <v>763</v>
      </c>
      <c r="B92" t="s">
        <v>764</v>
      </c>
      <c r="C92" t="s">
        <v>765</v>
      </c>
      <c r="D92" t="s">
        <v>766</v>
      </c>
      <c r="E92" t="s">
        <v>325</v>
      </c>
      <c r="F92" t="s">
        <v>766</v>
      </c>
      <c r="G92" t="s">
        <v>766</v>
      </c>
      <c r="H92" t="s">
        <v>306</v>
      </c>
      <c r="I92" t="s">
        <v>612</v>
      </c>
      <c r="J92" t="s">
        <v>308</v>
      </c>
      <c r="K92" t="s">
        <v>122</v>
      </c>
      <c r="L92" t="s">
        <v>368</v>
      </c>
      <c r="M92" t="s">
        <v>767</v>
      </c>
      <c r="N92" t="s">
        <v>767</v>
      </c>
    </row>
    <row r="93" spans="1:14">
      <c r="A93" t="s">
        <v>768</v>
      </c>
      <c r="B93" t="s">
        <v>722</v>
      </c>
      <c r="C93" t="s">
        <v>723</v>
      </c>
      <c r="D93" t="s">
        <v>769</v>
      </c>
      <c r="E93" t="s">
        <v>325</v>
      </c>
      <c r="F93" t="s">
        <v>769</v>
      </c>
      <c r="G93" t="s">
        <v>769</v>
      </c>
      <c r="H93" t="s">
        <v>306</v>
      </c>
      <c r="I93" t="s">
        <v>612</v>
      </c>
      <c r="J93" t="s">
        <v>328</v>
      </c>
      <c r="K93" t="s">
        <v>122</v>
      </c>
      <c r="L93" t="s">
        <v>329</v>
      </c>
      <c r="M93" t="s">
        <v>768</v>
      </c>
      <c r="N93" t="s">
        <v>768</v>
      </c>
    </row>
    <row r="94" spans="1:14">
      <c r="A94" t="s">
        <v>770</v>
      </c>
      <c r="B94" t="s">
        <v>771</v>
      </c>
      <c r="C94" t="s">
        <v>772</v>
      </c>
      <c r="D94" t="s">
        <v>773</v>
      </c>
      <c r="E94" t="s">
        <v>774</v>
      </c>
      <c r="F94" t="s">
        <v>773</v>
      </c>
      <c r="G94" t="s">
        <v>773</v>
      </c>
      <c r="H94" t="s">
        <v>306</v>
      </c>
      <c r="I94" t="s">
        <v>612</v>
      </c>
      <c r="J94" t="s">
        <v>328</v>
      </c>
      <c r="K94" t="s">
        <v>122</v>
      </c>
      <c r="L94" t="s">
        <v>381</v>
      </c>
      <c r="M94" t="s">
        <v>775</v>
      </c>
      <c r="N94" t="s">
        <v>775</v>
      </c>
    </row>
    <row r="95" spans="1:14">
      <c r="A95" t="s">
        <v>776</v>
      </c>
      <c r="B95" t="s">
        <v>638</v>
      </c>
      <c r="C95" t="s">
        <v>639</v>
      </c>
      <c r="D95" t="s">
        <v>777</v>
      </c>
      <c r="E95" t="s">
        <v>325</v>
      </c>
      <c r="F95" t="s">
        <v>777</v>
      </c>
      <c r="G95" t="s">
        <v>777</v>
      </c>
      <c r="H95" t="s">
        <v>306</v>
      </c>
      <c r="I95" t="s">
        <v>307</v>
      </c>
      <c r="J95" t="s">
        <v>424</v>
      </c>
      <c r="K95" t="s">
        <v>122</v>
      </c>
      <c r="L95" t="s">
        <v>498</v>
      </c>
      <c r="M95" t="s">
        <v>778</v>
      </c>
      <c r="N95" t="s">
        <v>778</v>
      </c>
    </row>
    <row r="96" spans="1:14">
      <c r="A96" t="s">
        <v>779</v>
      </c>
      <c r="B96" t="s">
        <v>780</v>
      </c>
      <c r="C96" t="s">
        <v>781</v>
      </c>
      <c r="D96" t="s">
        <v>782</v>
      </c>
      <c r="E96" t="s">
        <v>325</v>
      </c>
      <c r="F96" t="s">
        <v>782</v>
      </c>
      <c r="G96" t="s">
        <v>782</v>
      </c>
      <c r="H96" t="s">
        <v>306</v>
      </c>
      <c r="I96" t="s">
        <v>612</v>
      </c>
      <c r="J96" t="s">
        <v>210</v>
      </c>
      <c r="K96" t="s">
        <v>122</v>
      </c>
      <c r="L96" t="s">
        <v>381</v>
      </c>
      <c r="M96" t="s">
        <v>783</v>
      </c>
      <c r="N96" t="s">
        <v>783</v>
      </c>
    </row>
    <row r="97" spans="1:14">
      <c r="A97" t="s">
        <v>784</v>
      </c>
      <c r="B97" t="s">
        <v>785</v>
      </c>
      <c r="C97" t="s">
        <v>786</v>
      </c>
      <c r="D97" t="s">
        <v>787</v>
      </c>
      <c r="E97" t="s">
        <v>611</v>
      </c>
      <c r="F97" t="s">
        <v>787</v>
      </c>
      <c r="G97" t="s">
        <v>787</v>
      </c>
      <c r="H97" t="s">
        <v>306</v>
      </c>
      <c r="I97" t="s">
        <v>612</v>
      </c>
      <c r="J97" t="s">
        <v>210</v>
      </c>
      <c r="K97" t="s">
        <v>122</v>
      </c>
      <c r="L97" t="s">
        <v>309</v>
      </c>
      <c r="M97" t="s">
        <v>779</v>
      </c>
      <c r="N97" t="s">
        <v>779</v>
      </c>
    </row>
    <row r="98" spans="1:14">
      <c r="A98" t="s">
        <v>788</v>
      </c>
      <c r="B98" t="s">
        <v>789</v>
      </c>
      <c r="C98" t="s">
        <v>790</v>
      </c>
      <c r="D98" t="s">
        <v>686</v>
      </c>
      <c r="E98" t="s">
        <v>325</v>
      </c>
      <c r="F98" t="s">
        <v>686</v>
      </c>
      <c r="G98" t="s">
        <v>686</v>
      </c>
      <c r="H98" t="s">
        <v>306</v>
      </c>
      <c r="I98" t="s">
        <v>612</v>
      </c>
      <c r="J98" t="s">
        <v>308</v>
      </c>
      <c r="K98" t="s">
        <v>122</v>
      </c>
      <c r="L98" t="s">
        <v>791</v>
      </c>
      <c r="M98" t="s">
        <v>788</v>
      </c>
      <c r="N98" t="s">
        <v>788</v>
      </c>
    </row>
    <row r="99" spans="1:14">
      <c r="A99" t="s">
        <v>792</v>
      </c>
      <c r="B99" t="s">
        <v>793</v>
      </c>
      <c r="C99" t="s">
        <v>794</v>
      </c>
      <c r="D99" t="s">
        <v>795</v>
      </c>
      <c r="E99" t="s">
        <v>343</v>
      </c>
      <c r="F99" t="s">
        <v>795</v>
      </c>
      <c r="G99" t="s">
        <v>795</v>
      </c>
      <c r="H99" t="s">
        <v>306</v>
      </c>
      <c r="I99" t="s">
        <v>612</v>
      </c>
      <c r="J99" t="s">
        <v>210</v>
      </c>
      <c r="K99" t="s">
        <v>122</v>
      </c>
      <c r="L99" t="s">
        <v>350</v>
      </c>
      <c r="M99" t="s">
        <v>792</v>
      </c>
      <c r="N99" t="s">
        <v>792</v>
      </c>
    </row>
    <row r="100" spans="1:14">
      <c r="A100" t="s">
        <v>796</v>
      </c>
      <c r="B100" t="s">
        <v>797</v>
      </c>
      <c r="C100" t="s">
        <v>798</v>
      </c>
      <c r="D100" t="s">
        <v>799</v>
      </c>
      <c r="E100" t="s">
        <v>343</v>
      </c>
      <c r="F100" t="s">
        <v>799</v>
      </c>
      <c r="G100" t="s">
        <v>799</v>
      </c>
      <c r="H100" t="s">
        <v>306</v>
      </c>
      <c r="I100" t="s">
        <v>612</v>
      </c>
      <c r="J100" t="s">
        <v>210</v>
      </c>
      <c r="K100" t="s">
        <v>122</v>
      </c>
      <c r="L100" t="s">
        <v>350</v>
      </c>
      <c r="M100" t="s">
        <v>800</v>
      </c>
      <c r="N100" t="s">
        <v>800</v>
      </c>
    </row>
    <row r="101" spans="1:14">
      <c r="A101" t="s">
        <v>801</v>
      </c>
      <c r="B101" t="s">
        <v>464</v>
      </c>
      <c r="C101" t="s">
        <v>465</v>
      </c>
      <c r="D101" t="s">
        <v>802</v>
      </c>
      <c r="E101" t="s">
        <v>325</v>
      </c>
      <c r="F101" t="s">
        <v>802</v>
      </c>
      <c r="G101" t="s">
        <v>802</v>
      </c>
      <c r="H101" t="s">
        <v>306</v>
      </c>
      <c r="I101" t="s">
        <v>612</v>
      </c>
      <c r="J101" t="s">
        <v>803</v>
      </c>
      <c r="K101" t="s">
        <v>122</v>
      </c>
      <c r="L101" t="s">
        <v>381</v>
      </c>
      <c r="M101" t="s">
        <v>800</v>
      </c>
      <c r="N101" t="s">
        <v>800</v>
      </c>
    </row>
    <row r="102" spans="1:14">
      <c r="A102" t="s">
        <v>804</v>
      </c>
      <c r="B102" t="s">
        <v>504</v>
      </c>
      <c r="C102" t="s">
        <v>505</v>
      </c>
      <c r="D102" t="s">
        <v>805</v>
      </c>
      <c r="E102" t="s">
        <v>325</v>
      </c>
      <c r="F102" t="s">
        <v>805</v>
      </c>
      <c r="G102" t="s">
        <v>805</v>
      </c>
      <c r="H102" t="s">
        <v>306</v>
      </c>
      <c r="I102" t="s">
        <v>307</v>
      </c>
      <c r="J102" t="s">
        <v>328</v>
      </c>
      <c r="K102" t="s">
        <v>122</v>
      </c>
      <c r="L102" t="s">
        <v>329</v>
      </c>
      <c r="M102" t="s">
        <v>806</v>
      </c>
      <c r="N102" t="s">
        <v>806</v>
      </c>
    </row>
    <row r="103" spans="1:14">
      <c r="A103" t="s">
        <v>807</v>
      </c>
      <c r="B103" t="s">
        <v>340</v>
      </c>
      <c r="C103" t="s">
        <v>341</v>
      </c>
      <c r="D103" t="s">
        <v>808</v>
      </c>
      <c r="E103" t="s">
        <v>343</v>
      </c>
      <c r="F103" t="s">
        <v>808</v>
      </c>
      <c r="G103" t="s">
        <v>808</v>
      </c>
      <c r="H103" t="s">
        <v>306</v>
      </c>
      <c r="I103" t="s">
        <v>612</v>
      </c>
      <c r="J103" t="s">
        <v>308</v>
      </c>
      <c r="K103" t="s">
        <v>122</v>
      </c>
      <c r="L103" t="s">
        <v>358</v>
      </c>
      <c r="M103" t="s">
        <v>800</v>
      </c>
      <c r="N103" t="s">
        <v>800</v>
      </c>
    </row>
    <row r="104" spans="1:14">
      <c r="A104" t="s">
        <v>809</v>
      </c>
      <c r="B104" t="s">
        <v>810</v>
      </c>
      <c r="C104" t="s">
        <v>811</v>
      </c>
      <c r="D104" t="s">
        <v>812</v>
      </c>
      <c r="E104" t="s">
        <v>343</v>
      </c>
      <c r="F104" t="s">
        <v>812</v>
      </c>
      <c r="G104" t="s">
        <v>812</v>
      </c>
      <c r="H104" t="s">
        <v>306</v>
      </c>
      <c r="I104" t="s">
        <v>307</v>
      </c>
      <c r="J104" t="s">
        <v>397</v>
      </c>
      <c r="K104" t="s">
        <v>122</v>
      </c>
      <c r="L104" t="s">
        <v>734</v>
      </c>
      <c r="M104" t="s">
        <v>813</v>
      </c>
      <c r="N104" t="s">
        <v>813</v>
      </c>
    </row>
    <row r="105" spans="1:14">
      <c r="A105" t="s">
        <v>814</v>
      </c>
      <c r="B105" t="s">
        <v>810</v>
      </c>
      <c r="C105" t="s">
        <v>815</v>
      </c>
      <c r="D105" t="s">
        <v>816</v>
      </c>
      <c r="E105" t="s">
        <v>343</v>
      </c>
      <c r="F105" t="s">
        <v>816</v>
      </c>
      <c r="G105" t="s">
        <v>816</v>
      </c>
      <c r="H105" t="s">
        <v>306</v>
      </c>
      <c r="I105" t="s">
        <v>307</v>
      </c>
      <c r="J105" t="s">
        <v>397</v>
      </c>
      <c r="K105" t="s">
        <v>122</v>
      </c>
      <c r="L105" t="s">
        <v>734</v>
      </c>
      <c r="M105" t="s">
        <v>817</v>
      </c>
      <c r="N105" t="s">
        <v>817</v>
      </c>
    </row>
    <row r="106" spans="1:14">
      <c r="A106" t="s">
        <v>818</v>
      </c>
      <c r="B106" t="s">
        <v>819</v>
      </c>
      <c r="C106" t="s">
        <v>820</v>
      </c>
      <c r="D106" t="s">
        <v>821</v>
      </c>
      <c r="E106" t="s">
        <v>611</v>
      </c>
      <c r="F106" t="s">
        <v>821</v>
      </c>
      <c r="G106" t="s">
        <v>821</v>
      </c>
      <c r="H106" t="s">
        <v>306</v>
      </c>
      <c r="I106" t="s">
        <v>307</v>
      </c>
      <c r="J106" t="s">
        <v>397</v>
      </c>
      <c r="K106" t="s">
        <v>122</v>
      </c>
      <c r="L106" t="s">
        <v>822</v>
      </c>
      <c r="M106" t="s">
        <v>823</v>
      </c>
      <c r="N106" t="s">
        <v>823</v>
      </c>
    </row>
    <row r="107" spans="1:14">
      <c r="A107" t="s">
        <v>824</v>
      </c>
      <c r="B107" t="s">
        <v>825</v>
      </c>
      <c r="C107" t="s">
        <v>826</v>
      </c>
      <c r="D107" t="s">
        <v>827</v>
      </c>
      <c r="E107" t="s">
        <v>315</v>
      </c>
      <c r="F107" t="s">
        <v>827</v>
      </c>
      <c r="G107" t="s">
        <v>827</v>
      </c>
      <c r="H107" t="s">
        <v>316</v>
      </c>
      <c r="I107" t="s">
        <v>317</v>
      </c>
      <c r="J107" t="s">
        <v>318</v>
      </c>
      <c r="K107" t="s">
        <v>122</v>
      </c>
      <c r="L107" t="s">
        <v>319</v>
      </c>
      <c r="M107" t="s">
        <v>320</v>
      </c>
      <c r="N107" t="s">
        <v>320</v>
      </c>
    </row>
    <row r="108" spans="1:14">
      <c r="A108" t="s">
        <v>828</v>
      </c>
      <c r="B108" t="s">
        <v>829</v>
      </c>
      <c r="C108" t="s">
        <v>830</v>
      </c>
      <c r="D108" t="s">
        <v>831</v>
      </c>
      <c r="E108" t="s">
        <v>364</v>
      </c>
      <c r="F108" t="s">
        <v>831</v>
      </c>
      <c r="G108" t="s">
        <v>831</v>
      </c>
      <c r="H108" t="s">
        <v>316</v>
      </c>
      <c r="I108" t="s">
        <v>317</v>
      </c>
      <c r="J108" t="s">
        <v>318</v>
      </c>
      <c r="K108" t="s">
        <v>122</v>
      </c>
      <c r="L108" t="s">
        <v>605</v>
      </c>
      <c r="M108" t="s">
        <v>832</v>
      </c>
      <c r="N108" t="s">
        <v>832</v>
      </c>
    </row>
    <row r="109" spans="1:14">
      <c r="A109" t="s">
        <v>833</v>
      </c>
      <c r="B109" t="s">
        <v>834</v>
      </c>
      <c r="C109" t="s">
        <v>835</v>
      </c>
      <c r="D109" t="s">
        <v>836</v>
      </c>
      <c r="E109" t="s">
        <v>364</v>
      </c>
      <c r="F109" t="s">
        <v>836</v>
      </c>
      <c r="G109" t="s">
        <v>836</v>
      </c>
      <c r="H109" t="s">
        <v>316</v>
      </c>
      <c r="I109" t="s">
        <v>317</v>
      </c>
      <c r="J109" t="s">
        <v>318</v>
      </c>
      <c r="K109" t="s">
        <v>122</v>
      </c>
      <c r="L109" t="s">
        <v>309</v>
      </c>
      <c r="M109" t="s">
        <v>837</v>
      </c>
      <c r="N109" t="s">
        <v>837</v>
      </c>
    </row>
    <row r="110" spans="1:14">
      <c r="A110" t="s">
        <v>838</v>
      </c>
      <c r="B110" t="s">
        <v>780</v>
      </c>
      <c r="C110" t="s">
        <v>781</v>
      </c>
      <c r="D110" t="s">
        <v>733</v>
      </c>
      <c r="E110" t="s">
        <v>343</v>
      </c>
      <c r="F110" t="s">
        <v>733</v>
      </c>
      <c r="G110" t="s">
        <v>733</v>
      </c>
      <c r="H110" t="s">
        <v>316</v>
      </c>
      <c r="I110" t="s">
        <v>317</v>
      </c>
      <c r="J110" t="s">
        <v>397</v>
      </c>
      <c r="K110" t="s">
        <v>122</v>
      </c>
      <c r="L110" t="s">
        <v>329</v>
      </c>
      <c r="M110" t="s">
        <v>839</v>
      </c>
      <c r="N110" t="s">
        <v>839</v>
      </c>
    </row>
    <row r="111" spans="1:14">
      <c r="A111" t="s">
        <v>840</v>
      </c>
      <c r="B111" t="s">
        <v>841</v>
      </c>
      <c r="C111" t="s">
        <v>842</v>
      </c>
      <c r="D111" t="s">
        <v>843</v>
      </c>
      <c r="E111" t="s">
        <v>364</v>
      </c>
      <c r="F111" t="s">
        <v>843</v>
      </c>
      <c r="G111" t="s">
        <v>843</v>
      </c>
      <c r="H111" t="s">
        <v>316</v>
      </c>
      <c r="I111" t="s">
        <v>317</v>
      </c>
      <c r="J111" t="s">
        <v>318</v>
      </c>
      <c r="K111" t="s">
        <v>122</v>
      </c>
      <c r="L111" t="s">
        <v>329</v>
      </c>
      <c r="M111" t="s">
        <v>844</v>
      </c>
      <c r="N111" t="s">
        <v>844</v>
      </c>
    </row>
    <row r="112" spans="1:14">
      <c r="A112" t="s">
        <v>845</v>
      </c>
      <c r="B112" t="s">
        <v>540</v>
      </c>
      <c r="C112" t="s">
        <v>541</v>
      </c>
      <c r="D112" t="s">
        <v>846</v>
      </c>
      <c r="E112" t="s">
        <v>325</v>
      </c>
      <c r="F112" t="s">
        <v>847</v>
      </c>
      <c r="G112" t="s">
        <v>847</v>
      </c>
      <c r="H112" t="s">
        <v>431</v>
      </c>
      <c r="I112" t="s">
        <v>327</v>
      </c>
      <c r="J112" t="s">
        <v>357</v>
      </c>
      <c r="K112" t="s">
        <v>122</v>
      </c>
      <c r="L112" t="s">
        <v>848</v>
      </c>
      <c r="M112" t="s">
        <v>849</v>
      </c>
      <c r="N112" t="s">
        <v>849</v>
      </c>
    </row>
    <row r="113" spans="1:14">
      <c r="A113" t="s">
        <v>850</v>
      </c>
      <c r="B113" t="s">
        <v>469</v>
      </c>
      <c r="C113" t="s">
        <v>470</v>
      </c>
      <c r="D113" t="s">
        <v>851</v>
      </c>
      <c r="E113" t="s">
        <v>325</v>
      </c>
      <c r="F113" t="s">
        <v>852</v>
      </c>
      <c r="G113" t="s">
        <v>852</v>
      </c>
      <c r="H113" t="s">
        <v>316</v>
      </c>
      <c r="I113" t="s">
        <v>317</v>
      </c>
      <c r="J113" t="s">
        <v>328</v>
      </c>
      <c r="K113" t="s">
        <v>122</v>
      </c>
      <c r="L113" t="s">
        <v>368</v>
      </c>
      <c r="M113" t="s">
        <v>853</v>
      </c>
      <c r="N113" t="s">
        <v>853</v>
      </c>
    </row>
    <row r="114" spans="1:14">
      <c r="A114" t="s">
        <v>854</v>
      </c>
      <c r="B114" t="s">
        <v>855</v>
      </c>
      <c r="C114" t="s">
        <v>856</v>
      </c>
      <c r="D114" t="s">
        <v>857</v>
      </c>
      <c r="E114" t="s">
        <v>335</v>
      </c>
      <c r="F114" t="s">
        <v>857</v>
      </c>
      <c r="G114" t="s">
        <v>857</v>
      </c>
      <c r="H114" t="s">
        <v>316</v>
      </c>
      <c r="I114" t="s">
        <v>317</v>
      </c>
      <c r="J114" t="s">
        <v>318</v>
      </c>
      <c r="K114" t="s">
        <v>122</v>
      </c>
      <c r="L114" t="s">
        <v>329</v>
      </c>
      <c r="M114" t="s">
        <v>858</v>
      </c>
      <c r="N114" t="s">
        <v>858</v>
      </c>
    </row>
    <row r="115" spans="1:14">
      <c r="A115" t="s">
        <v>859</v>
      </c>
      <c r="B115" t="s">
        <v>860</v>
      </c>
      <c r="C115" t="s">
        <v>861</v>
      </c>
      <c r="D115" t="s">
        <v>862</v>
      </c>
      <c r="E115" t="s">
        <v>325</v>
      </c>
      <c r="F115" t="s">
        <v>862</v>
      </c>
      <c r="G115" t="s">
        <v>862</v>
      </c>
      <c r="H115" t="s">
        <v>306</v>
      </c>
      <c r="I115" t="s">
        <v>307</v>
      </c>
      <c r="J115" t="s">
        <v>328</v>
      </c>
      <c r="K115" t="s">
        <v>122</v>
      </c>
      <c r="L115" t="s">
        <v>329</v>
      </c>
      <c r="M115" t="s">
        <v>863</v>
      </c>
      <c r="N115" t="s">
        <v>863</v>
      </c>
    </row>
    <row r="116" spans="1:14">
      <c r="A116" t="s">
        <v>864</v>
      </c>
      <c r="B116" t="s">
        <v>602</v>
      </c>
      <c r="C116" t="s">
        <v>603</v>
      </c>
      <c r="D116" t="s">
        <v>865</v>
      </c>
      <c r="E116" t="s">
        <v>335</v>
      </c>
      <c r="F116" t="s">
        <v>866</v>
      </c>
      <c r="G116" t="s">
        <v>866</v>
      </c>
      <c r="H116" t="s">
        <v>316</v>
      </c>
      <c r="I116" t="s">
        <v>317</v>
      </c>
      <c r="J116" t="s">
        <v>308</v>
      </c>
      <c r="K116" t="s">
        <v>122</v>
      </c>
      <c r="L116" t="s">
        <v>381</v>
      </c>
      <c r="M116" t="s">
        <v>867</v>
      </c>
      <c r="N116" t="s">
        <v>867</v>
      </c>
    </row>
    <row r="117" spans="1:14">
      <c r="A117" t="s">
        <v>868</v>
      </c>
      <c r="B117" t="s">
        <v>869</v>
      </c>
      <c r="C117" t="s">
        <v>870</v>
      </c>
      <c r="D117" t="s">
        <v>492</v>
      </c>
      <c r="E117" t="s">
        <v>871</v>
      </c>
      <c r="F117" t="s">
        <v>492</v>
      </c>
      <c r="G117" t="s">
        <v>492</v>
      </c>
      <c r="H117" t="s">
        <v>326</v>
      </c>
      <c r="I117" t="s">
        <v>327</v>
      </c>
      <c r="J117" t="s">
        <v>318</v>
      </c>
      <c r="K117" t="s">
        <v>122</v>
      </c>
      <c r="L117" t="s">
        <v>381</v>
      </c>
      <c r="M117" t="s">
        <v>872</v>
      </c>
      <c r="N117" t="s">
        <v>872</v>
      </c>
    </row>
    <row r="118" spans="1:14">
      <c r="A118" t="s">
        <v>873</v>
      </c>
      <c r="B118" t="s">
        <v>874</v>
      </c>
      <c r="C118" t="s">
        <v>875</v>
      </c>
      <c r="D118" t="s">
        <v>876</v>
      </c>
      <c r="E118" t="s">
        <v>343</v>
      </c>
      <c r="F118" t="s">
        <v>877</v>
      </c>
      <c r="G118" t="s">
        <v>877</v>
      </c>
      <c r="H118" t="s">
        <v>306</v>
      </c>
      <c r="I118" t="s">
        <v>612</v>
      </c>
      <c r="J118" t="s">
        <v>376</v>
      </c>
      <c r="K118" t="s">
        <v>122</v>
      </c>
      <c r="L118" t="s">
        <v>350</v>
      </c>
      <c r="M118" t="s">
        <v>878</v>
      </c>
      <c r="N118" t="s">
        <v>878</v>
      </c>
    </row>
    <row r="119" spans="1:14">
      <c r="A119" t="s">
        <v>879</v>
      </c>
      <c r="B119" t="s">
        <v>880</v>
      </c>
      <c r="C119" t="s">
        <v>881</v>
      </c>
      <c r="D119" t="s">
        <v>882</v>
      </c>
      <c r="E119" t="s">
        <v>335</v>
      </c>
      <c r="F119" t="s">
        <v>882</v>
      </c>
      <c r="G119" t="s">
        <v>882</v>
      </c>
      <c r="H119" t="s">
        <v>316</v>
      </c>
      <c r="I119" t="s">
        <v>317</v>
      </c>
      <c r="J119" t="s">
        <v>308</v>
      </c>
      <c r="K119" t="s">
        <v>122</v>
      </c>
      <c r="L119" t="s">
        <v>309</v>
      </c>
      <c r="M119" t="s">
        <v>883</v>
      </c>
      <c r="N119" t="s">
        <v>883</v>
      </c>
    </row>
    <row r="120" spans="1:14">
      <c r="A120" t="s">
        <v>884</v>
      </c>
      <c r="B120" t="s">
        <v>434</v>
      </c>
      <c r="C120" t="s">
        <v>435</v>
      </c>
      <c r="D120" t="s">
        <v>885</v>
      </c>
      <c r="E120" t="s">
        <v>335</v>
      </c>
      <c r="F120" t="s">
        <v>885</v>
      </c>
      <c r="G120" t="s">
        <v>885</v>
      </c>
      <c r="H120" t="s">
        <v>316</v>
      </c>
      <c r="I120" t="s">
        <v>317</v>
      </c>
      <c r="J120" t="s">
        <v>308</v>
      </c>
      <c r="K120" t="s">
        <v>122</v>
      </c>
      <c r="L120" t="s">
        <v>381</v>
      </c>
      <c r="M120" t="s">
        <v>886</v>
      </c>
      <c r="N120" t="s">
        <v>886</v>
      </c>
    </row>
    <row r="121" spans="1:14">
      <c r="A121" t="s">
        <v>887</v>
      </c>
      <c r="B121" t="s">
        <v>712</v>
      </c>
      <c r="C121" t="s">
        <v>713</v>
      </c>
      <c r="D121" t="s">
        <v>888</v>
      </c>
      <c r="E121" t="s">
        <v>889</v>
      </c>
      <c r="F121" t="s">
        <v>888</v>
      </c>
      <c r="G121" t="s">
        <v>888</v>
      </c>
      <c r="H121" t="s">
        <v>316</v>
      </c>
      <c r="I121" t="s">
        <v>317</v>
      </c>
      <c r="J121" t="s">
        <v>367</v>
      </c>
      <c r="K121" t="s">
        <v>122</v>
      </c>
      <c r="L121" t="s">
        <v>381</v>
      </c>
      <c r="M121" t="s">
        <v>886</v>
      </c>
      <c r="N121" t="s">
        <v>886</v>
      </c>
    </row>
    <row r="122" spans="1:14">
      <c r="A122" t="s">
        <v>890</v>
      </c>
      <c r="B122" t="s">
        <v>434</v>
      </c>
      <c r="C122" t="s">
        <v>435</v>
      </c>
      <c r="D122" t="s">
        <v>709</v>
      </c>
      <c r="E122" t="s">
        <v>335</v>
      </c>
      <c r="F122" t="s">
        <v>709</v>
      </c>
      <c r="G122" t="s">
        <v>709</v>
      </c>
      <c r="H122" t="s">
        <v>316</v>
      </c>
      <c r="I122" t="s">
        <v>317</v>
      </c>
      <c r="J122" t="s">
        <v>210</v>
      </c>
      <c r="K122" t="s">
        <v>122</v>
      </c>
      <c r="L122" t="s">
        <v>350</v>
      </c>
      <c r="M122" t="s">
        <v>891</v>
      </c>
      <c r="N122" t="s">
        <v>891</v>
      </c>
    </row>
    <row r="123" spans="1:14">
      <c r="A123" t="s">
        <v>892</v>
      </c>
      <c r="B123" t="s">
        <v>571</v>
      </c>
      <c r="C123" t="s">
        <v>572</v>
      </c>
      <c r="D123" t="s">
        <v>893</v>
      </c>
      <c r="E123" t="s">
        <v>325</v>
      </c>
      <c r="F123" t="s">
        <v>893</v>
      </c>
      <c r="G123" t="s">
        <v>893</v>
      </c>
      <c r="H123" t="s">
        <v>306</v>
      </c>
      <c r="I123" t="s">
        <v>307</v>
      </c>
      <c r="J123" t="s">
        <v>357</v>
      </c>
      <c r="K123" t="s">
        <v>122</v>
      </c>
      <c r="L123" t="s">
        <v>498</v>
      </c>
      <c r="M123" t="s">
        <v>894</v>
      </c>
      <c r="N123" t="s">
        <v>894</v>
      </c>
    </row>
    <row r="124" spans="1:14">
      <c r="A124" t="s">
        <v>895</v>
      </c>
      <c r="B124" t="s">
        <v>896</v>
      </c>
      <c r="C124" t="s">
        <v>897</v>
      </c>
      <c r="D124" t="s">
        <v>898</v>
      </c>
      <c r="E124" t="s">
        <v>325</v>
      </c>
      <c r="F124" t="s">
        <v>898</v>
      </c>
      <c r="G124" t="s">
        <v>898</v>
      </c>
      <c r="H124" t="s">
        <v>306</v>
      </c>
      <c r="I124" t="s">
        <v>307</v>
      </c>
      <c r="J124" t="s">
        <v>328</v>
      </c>
      <c r="K124" t="s">
        <v>122</v>
      </c>
      <c r="L124" t="s">
        <v>329</v>
      </c>
      <c r="M124" t="s">
        <v>899</v>
      </c>
      <c r="N124" t="s">
        <v>899</v>
      </c>
    </row>
    <row r="125" spans="1:14">
      <c r="A125" t="s">
        <v>900</v>
      </c>
      <c r="B125" t="s">
        <v>901</v>
      </c>
      <c r="C125" t="s">
        <v>902</v>
      </c>
      <c r="D125" t="s">
        <v>903</v>
      </c>
      <c r="E125" t="s">
        <v>325</v>
      </c>
      <c r="F125" t="s">
        <v>903</v>
      </c>
      <c r="G125" t="s">
        <v>903</v>
      </c>
      <c r="H125" t="s">
        <v>306</v>
      </c>
      <c r="I125" t="s">
        <v>307</v>
      </c>
      <c r="J125" t="s">
        <v>376</v>
      </c>
      <c r="K125" t="s">
        <v>122</v>
      </c>
      <c r="L125" t="s">
        <v>822</v>
      </c>
      <c r="M125" t="s">
        <v>904</v>
      </c>
      <c r="N125" t="s">
        <v>904</v>
      </c>
    </row>
    <row r="126" spans="1:14">
      <c r="A126" t="s">
        <v>905</v>
      </c>
      <c r="B126" t="s">
        <v>906</v>
      </c>
      <c r="C126" t="s">
        <v>907</v>
      </c>
      <c r="D126" t="s">
        <v>908</v>
      </c>
      <c r="E126" t="s">
        <v>325</v>
      </c>
      <c r="F126" t="s">
        <v>909</v>
      </c>
      <c r="G126" t="s">
        <v>909</v>
      </c>
      <c r="H126" t="s">
        <v>306</v>
      </c>
      <c r="I126" t="s">
        <v>307</v>
      </c>
      <c r="J126" t="s">
        <v>357</v>
      </c>
      <c r="K126" t="s">
        <v>122</v>
      </c>
      <c r="L126" t="s">
        <v>487</v>
      </c>
      <c r="M126" t="s">
        <v>910</v>
      </c>
      <c r="N126" t="s">
        <v>910</v>
      </c>
    </row>
    <row r="127" spans="1:14">
      <c r="A127" t="s">
        <v>911</v>
      </c>
      <c r="B127" t="s">
        <v>912</v>
      </c>
      <c r="C127" t="s">
        <v>913</v>
      </c>
      <c r="D127" t="s">
        <v>914</v>
      </c>
      <c r="E127" t="s">
        <v>364</v>
      </c>
      <c r="F127" t="s">
        <v>914</v>
      </c>
      <c r="G127" t="s">
        <v>914</v>
      </c>
      <c r="H127" t="s">
        <v>326</v>
      </c>
      <c r="I127" t="s">
        <v>327</v>
      </c>
      <c r="J127" t="s">
        <v>424</v>
      </c>
      <c r="K127" t="s">
        <v>122</v>
      </c>
      <c r="L127" t="s">
        <v>386</v>
      </c>
      <c r="M127" t="s">
        <v>915</v>
      </c>
      <c r="N127" t="s">
        <v>915</v>
      </c>
    </row>
    <row r="128" spans="1:14">
      <c r="A128" t="s">
        <v>916</v>
      </c>
      <c r="B128" t="s">
        <v>454</v>
      </c>
      <c r="C128" t="s">
        <v>455</v>
      </c>
      <c r="D128" t="s">
        <v>917</v>
      </c>
      <c r="E128" t="s">
        <v>335</v>
      </c>
      <c r="F128" t="s">
        <v>917</v>
      </c>
      <c r="G128" t="s">
        <v>917</v>
      </c>
      <c r="H128" t="s">
        <v>316</v>
      </c>
      <c r="I128" t="s">
        <v>317</v>
      </c>
      <c r="J128" t="s">
        <v>376</v>
      </c>
      <c r="K128" t="s">
        <v>122</v>
      </c>
      <c r="L128" t="s">
        <v>350</v>
      </c>
      <c r="M128" t="s">
        <v>918</v>
      </c>
      <c r="N128" t="s">
        <v>918</v>
      </c>
    </row>
    <row r="129" spans="1:14">
      <c r="A129" t="s">
        <v>919</v>
      </c>
      <c r="B129" t="s">
        <v>920</v>
      </c>
      <c r="C129" t="s">
        <v>921</v>
      </c>
      <c r="D129" t="s">
        <v>922</v>
      </c>
      <c r="E129" t="s">
        <v>325</v>
      </c>
      <c r="F129" t="s">
        <v>922</v>
      </c>
      <c r="G129" t="s">
        <v>922</v>
      </c>
      <c r="H129" t="s">
        <v>431</v>
      </c>
      <c r="I129" t="s">
        <v>327</v>
      </c>
      <c r="J129" t="s">
        <v>328</v>
      </c>
      <c r="K129" t="s">
        <v>122</v>
      </c>
      <c r="L129" t="s">
        <v>358</v>
      </c>
      <c r="M129" t="s">
        <v>923</v>
      </c>
      <c r="N129" t="s">
        <v>923</v>
      </c>
    </row>
    <row r="130" spans="1:14">
      <c r="A130" t="s">
        <v>924</v>
      </c>
      <c r="B130" t="s">
        <v>546</v>
      </c>
      <c r="C130" t="s">
        <v>547</v>
      </c>
      <c r="D130" t="s">
        <v>925</v>
      </c>
      <c r="E130" t="s">
        <v>325</v>
      </c>
      <c r="F130" t="s">
        <v>926</v>
      </c>
      <c r="G130" t="s">
        <v>926</v>
      </c>
      <c r="H130" t="s">
        <v>306</v>
      </c>
      <c r="I130" t="s">
        <v>307</v>
      </c>
      <c r="J130" t="s">
        <v>357</v>
      </c>
      <c r="K130" t="s">
        <v>122</v>
      </c>
      <c r="L130" t="s">
        <v>358</v>
      </c>
      <c r="M130" t="s">
        <v>927</v>
      </c>
      <c r="N130" t="s">
        <v>927</v>
      </c>
    </row>
    <row r="131" spans="1:14">
      <c r="A131" t="s">
        <v>928</v>
      </c>
      <c r="B131" t="s">
        <v>929</v>
      </c>
      <c r="C131" t="s">
        <v>930</v>
      </c>
      <c r="D131" t="s">
        <v>931</v>
      </c>
      <c r="E131" t="s">
        <v>315</v>
      </c>
      <c r="F131" t="s">
        <v>931</v>
      </c>
      <c r="G131" t="s">
        <v>931</v>
      </c>
      <c r="H131" t="s">
        <v>306</v>
      </c>
      <c r="I131" t="s">
        <v>307</v>
      </c>
      <c r="J131" t="s">
        <v>376</v>
      </c>
      <c r="K131" t="s">
        <v>122</v>
      </c>
      <c r="L131" t="s">
        <v>350</v>
      </c>
      <c r="M131" t="s">
        <v>932</v>
      </c>
      <c r="N131" t="s">
        <v>932</v>
      </c>
    </row>
    <row r="132" spans="1:14">
      <c r="A132" t="s">
        <v>933</v>
      </c>
      <c r="B132" t="s">
        <v>934</v>
      </c>
      <c r="C132" t="s">
        <v>935</v>
      </c>
      <c r="D132" t="s">
        <v>936</v>
      </c>
      <c r="E132" t="s">
        <v>325</v>
      </c>
      <c r="F132" t="s">
        <v>936</v>
      </c>
      <c r="G132" t="s">
        <v>936</v>
      </c>
      <c r="H132" t="s">
        <v>306</v>
      </c>
      <c r="I132" t="s">
        <v>307</v>
      </c>
      <c r="J132" t="s">
        <v>357</v>
      </c>
      <c r="K132" t="s">
        <v>122</v>
      </c>
      <c r="L132" t="s">
        <v>358</v>
      </c>
      <c r="M132" t="s">
        <v>937</v>
      </c>
      <c r="N132" t="s">
        <v>937</v>
      </c>
    </row>
    <row r="133" spans="1:14">
      <c r="A133" t="s">
        <v>938</v>
      </c>
      <c r="B133" t="s">
        <v>939</v>
      </c>
      <c r="C133" t="s">
        <v>940</v>
      </c>
      <c r="D133" t="s">
        <v>941</v>
      </c>
      <c r="E133" t="s">
        <v>343</v>
      </c>
      <c r="F133" t="s">
        <v>941</v>
      </c>
      <c r="G133" t="s">
        <v>941</v>
      </c>
      <c r="H133" t="s">
        <v>431</v>
      </c>
      <c r="I133" t="s">
        <v>327</v>
      </c>
      <c r="J133" t="s">
        <v>357</v>
      </c>
      <c r="K133" t="s">
        <v>122</v>
      </c>
      <c r="L133" t="s">
        <v>451</v>
      </c>
      <c r="M133" t="s">
        <v>942</v>
      </c>
      <c r="N133" t="s">
        <v>942</v>
      </c>
    </row>
    <row r="134" spans="1:14">
      <c r="A134" t="s">
        <v>943</v>
      </c>
      <c r="B134" t="s">
        <v>490</v>
      </c>
      <c r="C134" t="s">
        <v>491</v>
      </c>
      <c r="D134" t="s">
        <v>941</v>
      </c>
      <c r="E134" t="s">
        <v>343</v>
      </c>
      <c r="F134" t="s">
        <v>941</v>
      </c>
      <c r="G134" t="s">
        <v>941</v>
      </c>
      <c r="H134" t="s">
        <v>306</v>
      </c>
      <c r="I134" t="s">
        <v>366</v>
      </c>
      <c r="J134" t="s">
        <v>944</v>
      </c>
      <c r="K134" t="s">
        <v>122</v>
      </c>
      <c r="L134" t="s">
        <v>368</v>
      </c>
      <c r="M134" t="s">
        <v>945</v>
      </c>
      <c r="N134" t="s">
        <v>945</v>
      </c>
    </row>
    <row r="135" spans="1:14">
      <c r="A135" t="s">
        <v>946</v>
      </c>
      <c r="B135" t="s">
        <v>947</v>
      </c>
      <c r="C135" t="s">
        <v>948</v>
      </c>
      <c r="D135" t="s">
        <v>687</v>
      </c>
      <c r="E135" t="s">
        <v>325</v>
      </c>
      <c r="F135" t="s">
        <v>687</v>
      </c>
      <c r="G135" t="s">
        <v>687</v>
      </c>
      <c r="H135" t="s">
        <v>306</v>
      </c>
      <c r="I135" t="s">
        <v>307</v>
      </c>
      <c r="J135" t="s">
        <v>328</v>
      </c>
      <c r="K135" t="s">
        <v>122</v>
      </c>
      <c r="L135" t="s">
        <v>368</v>
      </c>
      <c r="M135" t="s">
        <v>949</v>
      </c>
      <c r="N135" t="s">
        <v>949</v>
      </c>
    </row>
    <row r="136" spans="1:14">
      <c r="A136" t="s">
        <v>950</v>
      </c>
      <c r="B136" t="s">
        <v>602</v>
      </c>
      <c r="C136" t="s">
        <v>603</v>
      </c>
      <c r="D136" t="s">
        <v>951</v>
      </c>
      <c r="E136" t="s">
        <v>325</v>
      </c>
      <c r="F136" t="s">
        <v>952</v>
      </c>
      <c r="G136" t="s">
        <v>952</v>
      </c>
      <c r="H136" t="s">
        <v>306</v>
      </c>
      <c r="I136" t="s">
        <v>307</v>
      </c>
      <c r="J136" t="s">
        <v>357</v>
      </c>
      <c r="K136" t="s">
        <v>486</v>
      </c>
      <c r="L136" t="s">
        <v>487</v>
      </c>
      <c r="M136" t="s">
        <v>953</v>
      </c>
      <c r="N136" t="s">
        <v>953</v>
      </c>
    </row>
    <row r="137" spans="1:14">
      <c r="A137" t="s">
        <v>954</v>
      </c>
      <c r="B137" t="s">
        <v>955</v>
      </c>
      <c r="C137" t="s">
        <v>956</v>
      </c>
      <c r="D137" t="s">
        <v>957</v>
      </c>
      <c r="E137" t="s">
        <v>325</v>
      </c>
      <c r="F137" t="s">
        <v>957</v>
      </c>
      <c r="G137" t="s">
        <v>957</v>
      </c>
      <c r="H137" t="s">
        <v>431</v>
      </c>
      <c r="I137" t="s">
        <v>327</v>
      </c>
      <c r="J137" t="s">
        <v>424</v>
      </c>
      <c r="K137" t="s">
        <v>122</v>
      </c>
      <c r="L137" t="s">
        <v>386</v>
      </c>
      <c r="M137" t="s">
        <v>958</v>
      </c>
      <c r="N137" t="s">
        <v>958</v>
      </c>
    </row>
    <row r="138" spans="1:14">
      <c r="A138" t="s">
        <v>959</v>
      </c>
      <c r="B138" t="s">
        <v>469</v>
      </c>
      <c r="C138" t="s">
        <v>470</v>
      </c>
      <c r="D138" t="s">
        <v>960</v>
      </c>
      <c r="E138" t="s">
        <v>325</v>
      </c>
      <c r="F138" t="s">
        <v>960</v>
      </c>
      <c r="G138" t="s">
        <v>960</v>
      </c>
      <c r="H138" t="s">
        <v>306</v>
      </c>
      <c r="I138" t="s">
        <v>307</v>
      </c>
      <c r="J138" t="s">
        <v>328</v>
      </c>
      <c r="K138" t="s">
        <v>122</v>
      </c>
      <c r="L138" t="s">
        <v>329</v>
      </c>
      <c r="M138" t="s">
        <v>961</v>
      </c>
      <c r="N138" t="s">
        <v>961</v>
      </c>
    </row>
    <row r="139" spans="1:14">
      <c r="A139" t="s">
        <v>962</v>
      </c>
      <c r="B139" t="s">
        <v>880</v>
      </c>
      <c r="C139" t="s">
        <v>881</v>
      </c>
      <c r="D139" t="s">
        <v>963</v>
      </c>
      <c r="E139" t="s">
        <v>325</v>
      </c>
      <c r="F139" t="s">
        <v>963</v>
      </c>
      <c r="G139" t="s">
        <v>963</v>
      </c>
      <c r="H139" t="s">
        <v>431</v>
      </c>
      <c r="I139" t="s">
        <v>327</v>
      </c>
      <c r="J139" t="s">
        <v>357</v>
      </c>
      <c r="K139" t="s">
        <v>122</v>
      </c>
      <c r="L139" t="s">
        <v>386</v>
      </c>
      <c r="M139" t="s">
        <v>964</v>
      </c>
      <c r="N139" t="s">
        <v>964</v>
      </c>
    </row>
    <row r="140" spans="1:14">
      <c r="A140" t="s">
        <v>965</v>
      </c>
      <c r="B140" t="s">
        <v>464</v>
      </c>
      <c r="C140" t="s">
        <v>465</v>
      </c>
      <c r="D140" t="s">
        <v>966</v>
      </c>
      <c r="E140" t="s">
        <v>325</v>
      </c>
      <c r="F140" t="s">
        <v>966</v>
      </c>
      <c r="G140" t="s">
        <v>966</v>
      </c>
      <c r="H140" t="s">
        <v>306</v>
      </c>
      <c r="I140" t="s">
        <v>307</v>
      </c>
      <c r="J140" t="s">
        <v>328</v>
      </c>
      <c r="K140" t="s">
        <v>122</v>
      </c>
      <c r="L140" t="s">
        <v>329</v>
      </c>
      <c r="M140" t="s">
        <v>967</v>
      </c>
      <c r="N140" t="s">
        <v>967</v>
      </c>
    </row>
    <row r="141" spans="1:14">
      <c r="A141" t="s">
        <v>968</v>
      </c>
      <c r="B141" t="s">
        <v>947</v>
      </c>
      <c r="C141" t="s">
        <v>969</v>
      </c>
      <c r="D141" t="s">
        <v>970</v>
      </c>
      <c r="E141" t="s">
        <v>325</v>
      </c>
      <c r="F141" t="s">
        <v>970</v>
      </c>
      <c r="G141" t="s">
        <v>970</v>
      </c>
      <c r="H141" t="s">
        <v>306</v>
      </c>
      <c r="I141" t="s">
        <v>307</v>
      </c>
      <c r="J141" t="s">
        <v>328</v>
      </c>
      <c r="K141" t="s">
        <v>122</v>
      </c>
      <c r="L141" t="s">
        <v>329</v>
      </c>
      <c r="M141" t="s">
        <v>971</v>
      </c>
      <c r="N141" t="s">
        <v>971</v>
      </c>
    </row>
    <row r="142" spans="1:14">
      <c r="A142" t="s">
        <v>972</v>
      </c>
      <c r="B142" t="s">
        <v>947</v>
      </c>
      <c r="C142" t="s">
        <v>973</v>
      </c>
      <c r="D142" t="s">
        <v>974</v>
      </c>
      <c r="E142" t="s">
        <v>325</v>
      </c>
      <c r="F142" t="s">
        <v>974</v>
      </c>
      <c r="G142" t="s">
        <v>974</v>
      </c>
      <c r="H142" t="s">
        <v>306</v>
      </c>
      <c r="I142" t="s">
        <v>327</v>
      </c>
      <c r="J142" t="s">
        <v>328</v>
      </c>
      <c r="K142" t="s">
        <v>122</v>
      </c>
      <c r="L142" t="s">
        <v>498</v>
      </c>
      <c r="M142" t="s">
        <v>975</v>
      </c>
      <c r="N142" t="s">
        <v>975</v>
      </c>
    </row>
    <row r="143" spans="1:14">
      <c r="A143" t="s">
        <v>976</v>
      </c>
      <c r="B143" t="s">
        <v>469</v>
      </c>
      <c r="C143" t="s">
        <v>470</v>
      </c>
      <c r="D143" t="s">
        <v>977</v>
      </c>
      <c r="E143" t="s">
        <v>325</v>
      </c>
      <c r="F143" t="s">
        <v>977</v>
      </c>
      <c r="G143" t="s">
        <v>977</v>
      </c>
      <c r="H143" t="s">
        <v>306</v>
      </c>
      <c r="I143" t="s">
        <v>307</v>
      </c>
      <c r="J143" t="s">
        <v>328</v>
      </c>
      <c r="K143" t="s">
        <v>122</v>
      </c>
      <c r="L143" t="s">
        <v>329</v>
      </c>
      <c r="M143" t="s">
        <v>978</v>
      </c>
      <c r="N143" t="s">
        <v>978</v>
      </c>
    </row>
    <row r="144" spans="1:14">
      <c r="A144" t="s">
        <v>979</v>
      </c>
      <c r="B144" t="s">
        <v>780</v>
      </c>
      <c r="C144" t="s">
        <v>781</v>
      </c>
      <c r="D144" t="s">
        <v>980</v>
      </c>
      <c r="E144" t="s">
        <v>774</v>
      </c>
      <c r="F144" t="s">
        <v>980</v>
      </c>
      <c r="G144" t="s">
        <v>980</v>
      </c>
      <c r="H144" t="s">
        <v>306</v>
      </c>
      <c r="I144" t="s">
        <v>307</v>
      </c>
      <c r="J144" t="s">
        <v>367</v>
      </c>
      <c r="K144" t="s">
        <v>122</v>
      </c>
      <c r="L144" t="s">
        <v>734</v>
      </c>
      <c r="M144" t="s">
        <v>981</v>
      </c>
      <c r="N144" t="s">
        <v>981</v>
      </c>
    </row>
    <row r="145" spans="1:14">
      <c r="A145" t="s">
        <v>982</v>
      </c>
      <c r="B145" t="s">
        <v>983</v>
      </c>
      <c r="C145" t="s">
        <v>984</v>
      </c>
      <c r="D145" t="s">
        <v>985</v>
      </c>
      <c r="E145" t="s">
        <v>325</v>
      </c>
      <c r="F145" t="s">
        <v>985</v>
      </c>
      <c r="G145" t="s">
        <v>985</v>
      </c>
      <c r="H145" t="s">
        <v>306</v>
      </c>
      <c r="I145" t="s">
        <v>307</v>
      </c>
      <c r="J145" t="s">
        <v>328</v>
      </c>
      <c r="K145" t="s">
        <v>122</v>
      </c>
      <c r="L145" t="s">
        <v>329</v>
      </c>
      <c r="M145" t="s">
        <v>981</v>
      </c>
      <c r="N145" t="s">
        <v>981</v>
      </c>
    </row>
    <row r="146" spans="1:14">
      <c r="A146" t="s">
        <v>986</v>
      </c>
      <c r="B146" t="s">
        <v>987</v>
      </c>
      <c r="C146" t="s">
        <v>561</v>
      </c>
      <c r="D146" t="s">
        <v>988</v>
      </c>
      <c r="E146" t="s">
        <v>325</v>
      </c>
      <c r="F146" t="s">
        <v>988</v>
      </c>
      <c r="G146" t="s">
        <v>988</v>
      </c>
      <c r="H146" t="s">
        <v>306</v>
      </c>
      <c r="I146" t="s">
        <v>307</v>
      </c>
      <c r="J146" t="s">
        <v>424</v>
      </c>
      <c r="K146" t="s">
        <v>122</v>
      </c>
      <c r="L146" t="s">
        <v>451</v>
      </c>
      <c r="M146" t="s">
        <v>989</v>
      </c>
      <c r="N146" t="s">
        <v>989</v>
      </c>
    </row>
    <row r="147" spans="1:14">
      <c r="A147" t="s">
        <v>990</v>
      </c>
      <c r="B147" t="s">
        <v>504</v>
      </c>
      <c r="C147" t="s">
        <v>505</v>
      </c>
      <c r="D147" t="s">
        <v>991</v>
      </c>
      <c r="E147" t="s">
        <v>325</v>
      </c>
      <c r="F147" t="s">
        <v>991</v>
      </c>
      <c r="G147" t="s">
        <v>991</v>
      </c>
      <c r="H147" t="s">
        <v>306</v>
      </c>
      <c r="I147" t="s">
        <v>307</v>
      </c>
      <c r="J147" t="s">
        <v>328</v>
      </c>
      <c r="K147" t="s">
        <v>122</v>
      </c>
      <c r="L147" t="s">
        <v>329</v>
      </c>
      <c r="M147" t="s">
        <v>992</v>
      </c>
      <c r="N147" t="s">
        <v>992</v>
      </c>
    </row>
    <row r="148" spans="1:14">
      <c r="A148" t="s">
        <v>993</v>
      </c>
      <c r="B148" t="s">
        <v>994</v>
      </c>
      <c r="C148" t="s">
        <v>995</v>
      </c>
      <c r="D148" t="s">
        <v>996</v>
      </c>
      <c r="E148" t="s">
        <v>325</v>
      </c>
      <c r="F148" t="s">
        <v>996</v>
      </c>
      <c r="G148" t="s">
        <v>996</v>
      </c>
      <c r="H148" t="s">
        <v>306</v>
      </c>
      <c r="I148" t="s">
        <v>307</v>
      </c>
      <c r="J148" t="s">
        <v>318</v>
      </c>
      <c r="K148" t="s">
        <v>122</v>
      </c>
      <c r="L148" t="s">
        <v>350</v>
      </c>
      <c r="M148" t="s">
        <v>997</v>
      </c>
      <c r="N148" t="s">
        <v>997</v>
      </c>
    </row>
    <row r="149" spans="1:14">
      <c r="A149" t="s">
        <v>998</v>
      </c>
      <c r="B149" t="s">
        <v>999</v>
      </c>
      <c r="C149" t="s">
        <v>1000</v>
      </c>
      <c r="D149" t="s">
        <v>436</v>
      </c>
      <c r="E149" t="s">
        <v>364</v>
      </c>
      <c r="F149" t="s">
        <v>1001</v>
      </c>
      <c r="G149" t="s">
        <v>1001</v>
      </c>
      <c r="H149" t="s">
        <v>306</v>
      </c>
      <c r="I149" t="s">
        <v>307</v>
      </c>
      <c r="J149" t="s">
        <v>357</v>
      </c>
      <c r="K149" t="s">
        <v>486</v>
      </c>
      <c r="L149" t="s">
        <v>487</v>
      </c>
      <c r="M149" t="s">
        <v>1002</v>
      </c>
      <c r="N149" t="s">
        <v>1002</v>
      </c>
    </row>
    <row r="150" spans="1:14">
      <c r="A150" t="s">
        <v>1003</v>
      </c>
      <c r="B150" t="s">
        <v>1004</v>
      </c>
      <c r="C150" t="s">
        <v>1005</v>
      </c>
      <c r="D150" t="s">
        <v>1006</v>
      </c>
      <c r="E150" t="s">
        <v>315</v>
      </c>
      <c r="F150" t="s">
        <v>1006</v>
      </c>
      <c r="G150" t="s">
        <v>1006</v>
      </c>
      <c r="H150" t="s">
        <v>316</v>
      </c>
      <c r="I150" t="s">
        <v>317</v>
      </c>
      <c r="J150" t="s">
        <v>318</v>
      </c>
      <c r="K150" t="s">
        <v>122</v>
      </c>
      <c r="L150" t="s">
        <v>368</v>
      </c>
      <c r="M150" t="s">
        <v>1007</v>
      </c>
      <c r="N150" t="s">
        <v>1007</v>
      </c>
    </row>
    <row r="151" spans="1:14">
      <c r="A151" t="s">
        <v>1008</v>
      </c>
      <c r="B151" t="s">
        <v>1009</v>
      </c>
      <c r="C151" t="s">
        <v>1010</v>
      </c>
      <c r="D151" t="s">
        <v>1011</v>
      </c>
      <c r="E151" t="s">
        <v>325</v>
      </c>
      <c r="F151" t="s">
        <v>1011</v>
      </c>
      <c r="G151" t="s">
        <v>1011</v>
      </c>
      <c r="H151" t="s">
        <v>326</v>
      </c>
      <c r="I151" t="s">
        <v>327</v>
      </c>
      <c r="J151" t="s">
        <v>424</v>
      </c>
      <c r="K151" t="s">
        <v>122</v>
      </c>
      <c r="L151" t="s">
        <v>451</v>
      </c>
      <c r="M151" t="s">
        <v>1012</v>
      </c>
      <c r="N151" t="s">
        <v>1012</v>
      </c>
    </row>
    <row r="152" spans="1:14">
      <c r="A152" t="s">
        <v>1013</v>
      </c>
      <c r="B152" t="s">
        <v>1014</v>
      </c>
      <c r="C152" t="s">
        <v>1015</v>
      </c>
      <c r="D152" t="s">
        <v>1016</v>
      </c>
      <c r="E152" t="s">
        <v>1017</v>
      </c>
      <c r="F152" t="s">
        <v>1016</v>
      </c>
      <c r="G152" t="s">
        <v>1016</v>
      </c>
      <c r="H152" t="s">
        <v>326</v>
      </c>
      <c r="I152" t="s">
        <v>327</v>
      </c>
      <c r="J152" t="s">
        <v>210</v>
      </c>
      <c r="K152" t="s">
        <v>122</v>
      </c>
      <c r="L152" t="s">
        <v>1018</v>
      </c>
      <c r="M152" t="s">
        <v>1019</v>
      </c>
      <c r="N152" t="s">
        <v>1019</v>
      </c>
    </row>
    <row r="153" spans="1:14">
      <c r="A153" t="s">
        <v>1020</v>
      </c>
      <c r="B153" t="s">
        <v>771</v>
      </c>
      <c r="C153" t="s">
        <v>772</v>
      </c>
      <c r="D153" t="s">
        <v>1021</v>
      </c>
      <c r="E153" t="s">
        <v>325</v>
      </c>
      <c r="F153" t="s">
        <v>1021</v>
      </c>
      <c r="G153" t="s">
        <v>1021</v>
      </c>
      <c r="H153" t="s">
        <v>306</v>
      </c>
      <c r="I153" t="s">
        <v>612</v>
      </c>
      <c r="J153" t="s">
        <v>308</v>
      </c>
      <c r="K153" t="s">
        <v>122</v>
      </c>
      <c r="L153" t="s">
        <v>381</v>
      </c>
      <c r="M153" t="s">
        <v>768</v>
      </c>
      <c r="N153" t="s">
        <v>768</v>
      </c>
    </row>
    <row r="154" spans="1:14">
      <c r="A154" t="s">
        <v>1022</v>
      </c>
      <c r="B154" t="s">
        <v>540</v>
      </c>
      <c r="C154" t="s">
        <v>541</v>
      </c>
      <c r="D154" t="s">
        <v>1023</v>
      </c>
      <c r="E154" t="s">
        <v>1024</v>
      </c>
      <c r="F154" t="s">
        <v>1023</v>
      </c>
      <c r="G154" t="s">
        <v>1023</v>
      </c>
      <c r="H154" t="s">
        <v>316</v>
      </c>
      <c r="I154" t="s">
        <v>317</v>
      </c>
      <c r="J154" t="s">
        <v>308</v>
      </c>
      <c r="K154" t="s">
        <v>122</v>
      </c>
      <c r="L154" t="s">
        <v>381</v>
      </c>
      <c r="M154" t="s">
        <v>1022</v>
      </c>
      <c r="N154" t="s">
        <v>1022</v>
      </c>
    </row>
    <row r="155" spans="1:14">
      <c r="A155" t="s">
        <v>1025</v>
      </c>
      <c r="B155" t="s">
        <v>939</v>
      </c>
      <c r="C155" t="s">
        <v>940</v>
      </c>
      <c r="D155" t="s">
        <v>279</v>
      </c>
      <c r="E155" t="s">
        <v>1026</v>
      </c>
      <c r="F155" t="s">
        <v>279</v>
      </c>
      <c r="G155" t="s">
        <v>279</v>
      </c>
      <c r="H155" t="s">
        <v>316</v>
      </c>
      <c r="I155" t="s">
        <v>317</v>
      </c>
      <c r="J155" t="s">
        <v>308</v>
      </c>
      <c r="K155" t="s">
        <v>122</v>
      </c>
      <c r="L155" t="s">
        <v>319</v>
      </c>
      <c r="M155" t="s">
        <v>1027</v>
      </c>
      <c r="N155" t="s">
        <v>1027</v>
      </c>
    </row>
    <row r="156" spans="1:14">
      <c r="A156" t="s">
        <v>1028</v>
      </c>
      <c r="B156" t="s">
        <v>1029</v>
      </c>
      <c r="C156" t="s">
        <v>1030</v>
      </c>
      <c r="D156" t="s">
        <v>1031</v>
      </c>
      <c r="E156" t="s">
        <v>335</v>
      </c>
      <c r="F156" t="s">
        <v>1031</v>
      </c>
      <c r="G156" t="s">
        <v>1031</v>
      </c>
      <c r="H156" t="s">
        <v>316</v>
      </c>
      <c r="I156" t="s">
        <v>317</v>
      </c>
      <c r="J156" t="s">
        <v>318</v>
      </c>
      <c r="K156" t="s">
        <v>122</v>
      </c>
      <c r="L156" t="s">
        <v>381</v>
      </c>
      <c r="M156" t="s">
        <v>1032</v>
      </c>
      <c r="N156" t="s">
        <v>1032</v>
      </c>
    </row>
    <row r="157" spans="1:14">
      <c r="A157" t="s">
        <v>1033</v>
      </c>
      <c r="B157" t="s">
        <v>1034</v>
      </c>
      <c r="C157" t="s">
        <v>1035</v>
      </c>
      <c r="D157" t="s">
        <v>1036</v>
      </c>
      <c r="E157" t="s">
        <v>315</v>
      </c>
      <c r="F157" t="s">
        <v>1036</v>
      </c>
      <c r="G157" t="s">
        <v>1036</v>
      </c>
      <c r="H157" t="s">
        <v>306</v>
      </c>
      <c r="I157" t="s">
        <v>307</v>
      </c>
      <c r="J157" t="s">
        <v>376</v>
      </c>
      <c r="K157" t="s">
        <v>122</v>
      </c>
      <c r="L157" t="s">
        <v>350</v>
      </c>
      <c r="M157" t="s">
        <v>1037</v>
      </c>
      <c r="N157" t="s">
        <v>1037</v>
      </c>
    </row>
    <row r="158" spans="1:14">
      <c r="A158" t="s">
        <v>1038</v>
      </c>
      <c r="B158" t="s">
        <v>464</v>
      </c>
      <c r="C158" t="s">
        <v>465</v>
      </c>
      <c r="D158" t="s">
        <v>1039</v>
      </c>
      <c r="E158" t="s">
        <v>305</v>
      </c>
      <c r="F158" t="s">
        <v>1040</v>
      </c>
      <c r="G158" t="s">
        <v>1040</v>
      </c>
      <c r="H158" t="s">
        <v>326</v>
      </c>
      <c r="I158" t="s">
        <v>327</v>
      </c>
      <c r="J158" t="s">
        <v>418</v>
      </c>
      <c r="K158" t="s">
        <v>122</v>
      </c>
      <c r="L158" t="s">
        <v>386</v>
      </c>
      <c r="M158" t="s">
        <v>1041</v>
      </c>
      <c r="N158" t="s">
        <v>1041</v>
      </c>
    </row>
    <row r="159" spans="1:14">
      <c r="A159" t="s">
        <v>1042</v>
      </c>
      <c r="B159" t="s">
        <v>1043</v>
      </c>
      <c r="C159" t="s">
        <v>1044</v>
      </c>
      <c r="D159" t="s">
        <v>1045</v>
      </c>
      <c r="E159" t="s">
        <v>315</v>
      </c>
      <c r="F159" t="s">
        <v>1045</v>
      </c>
      <c r="G159" t="s">
        <v>1045</v>
      </c>
      <c r="H159" t="s">
        <v>316</v>
      </c>
      <c r="I159" t="s">
        <v>317</v>
      </c>
      <c r="J159" t="s">
        <v>418</v>
      </c>
      <c r="K159" t="s">
        <v>122</v>
      </c>
      <c r="L159" t="s">
        <v>605</v>
      </c>
      <c r="M159" t="s">
        <v>1042</v>
      </c>
      <c r="N159" t="s">
        <v>1042</v>
      </c>
    </row>
    <row r="160" spans="1:14">
      <c r="A160" t="s">
        <v>1046</v>
      </c>
      <c r="B160" t="s">
        <v>1047</v>
      </c>
      <c r="C160" t="s">
        <v>1048</v>
      </c>
      <c r="D160" t="s">
        <v>1049</v>
      </c>
      <c r="E160" t="s">
        <v>335</v>
      </c>
      <c r="F160" t="s">
        <v>1050</v>
      </c>
      <c r="G160" t="s">
        <v>1050</v>
      </c>
      <c r="H160" t="s">
        <v>316</v>
      </c>
      <c r="I160" t="s">
        <v>317</v>
      </c>
      <c r="J160" t="s">
        <v>308</v>
      </c>
      <c r="K160" t="s">
        <v>122</v>
      </c>
      <c r="L160" t="s">
        <v>350</v>
      </c>
      <c r="M160" t="s">
        <v>1051</v>
      </c>
      <c r="N160" t="s">
        <v>1051</v>
      </c>
    </row>
    <row r="161" spans="1:14">
      <c r="A161" t="s">
        <v>1052</v>
      </c>
      <c r="B161" t="s">
        <v>540</v>
      </c>
      <c r="C161" t="s">
        <v>541</v>
      </c>
      <c r="D161" t="s">
        <v>709</v>
      </c>
      <c r="E161" t="s">
        <v>335</v>
      </c>
      <c r="F161" t="s">
        <v>709</v>
      </c>
      <c r="G161" t="s">
        <v>709</v>
      </c>
      <c r="H161" t="s">
        <v>316</v>
      </c>
      <c r="I161" t="s">
        <v>317</v>
      </c>
      <c r="J161" t="s">
        <v>318</v>
      </c>
      <c r="K161" t="s">
        <v>122</v>
      </c>
      <c r="L161" t="s">
        <v>350</v>
      </c>
      <c r="M161" t="s">
        <v>1053</v>
      </c>
      <c r="N161" t="s">
        <v>1053</v>
      </c>
    </row>
    <row r="162" spans="1:14">
      <c r="A162" t="s">
        <v>1054</v>
      </c>
      <c r="B162" t="s">
        <v>1055</v>
      </c>
      <c r="C162" t="s">
        <v>1056</v>
      </c>
      <c r="D162" t="s">
        <v>1057</v>
      </c>
      <c r="E162" t="s">
        <v>335</v>
      </c>
      <c r="F162" t="s">
        <v>1057</v>
      </c>
      <c r="G162" t="s">
        <v>1057</v>
      </c>
      <c r="H162" t="s">
        <v>316</v>
      </c>
      <c r="I162" t="s">
        <v>317</v>
      </c>
      <c r="J162" t="s">
        <v>367</v>
      </c>
      <c r="K162" t="s">
        <v>122</v>
      </c>
      <c r="L162" t="s">
        <v>734</v>
      </c>
      <c r="M162" t="s">
        <v>1058</v>
      </c>
      <c r="N162" t="s">
        <v>1058</v>
      </c>
    </row>
    <row r="163" spans="1:14">
      <c r="A163" t="s">
        <v>1059</v>
      </c>
      <c r="B163" t="s">
        <v>410</v>
      </c>
      <c r="C163" t="s">
        <v>411</v>
      </c>
      <c r="D163" t="s">
        <v>412</v>
      </c>
      <c r="E163" t="s">
        <v>325</v>
      </c>
      <c r="F163" t="s">
        <v>412</v>
      </c>
      <c r="G163" t="s">
        <v>412</v>
      </c>
      <c r="H163" t="s">
        <v>306</v>
      </c>
      <c r="I163" t="s">
        <v>307</v>
      </c>
      <c r="J163" t="s">
        <v>328</v>
      </c>
      <c r="K163" t="s">
        <v>122</v>
      </c>
      <c r="L163" t="s">
        <v>350</v>
      </c>
      <c r="M163" t="s">
        <v>1060</v>
      </c>
      <c r="N163" t="s">
        <v>1060</v>
      </c>
    </row>
    <row r="164" spans="1:14">
      <c r="A164" t="s">
        <v>1061</v>
      </c>
      <c r="B164" t="s">
        <v>1062</v>
      </c>
      <c r="C164" t="s">
        <v>1063</v>
      </c>
      <c r="D164" t="s">
        <v>1064</v>
      </c>
      <c r="E164" t="s">
        <v>335</v>
      </c>
      <c r="F164" t="s">
        <v>1064</v>
      </c>
      <c r="G164" t="s">
        <v>1064</v>
      </c>
      <c r="H164" t="s">
        <v>316</v>
      </c>
      <c r="I164" t="s">
        <v>317</v>
      </c>
      <c r="J164" t="s">
        <v>318</v>
      </c>
      <c r="K164" t="s">
        <v>122</v>
      </c>
      <c r="L164" t="s">
        <v>358</v>
      </c>
      <c r="M164" t="s">
        <v>1065</v>
      </c>
      <c r="N164" t="s">
        <v>1065</v>
      </c>
    </row>
    <row r="165" spans="1:14">
      <c r="A165" t="s">
        <v>1066</v>
      </c>
      <c r="B165" t="s">
        <v>912</v>
      </c>
      <c r="C165" t="s">
        <v>913</v>
      </c>
      <c r="D165" t="s">
        <v>1067</v>
      </c>
      <c r="E165" t="s">
        <v>364</v>
      </c>
      <c r="F165" t="s">
        <v>1067</v>
      </c>
      <c r="G165" t="s">
        <v>1067</v>
      </c>
      <c r="H165" t="s">
        <v>316</v>
      </c>
      <c r="I165" t="s">
        <v>317</v>
      </c>
      <c r="J165" t="s">
        <v>376</v>
      </c>
      <c r="K165" t="s">
        <v>122</v>
      </c>
      <c r="L165" t="s">
        <v>309</v>
      </c>
      <c r="M165" t="s">
        <v>1068</v>
      </c>
      <c r="N165" t="s">
        <v>1068</v>
      </c>
    </row>
    <row r="166" spans="1:14">
      <c r="A166" t="s">
        <v>1069</v>
      </c>
      <c r="B166" t="s">
        <v>519</v>
      </c>
      <c r="C166" t="s">
        <v>520</v>
      </c>
      <c r="D166" t="s">
        <v>1070</v>
      </c>
      <c r="E166" t="s">
        <v>343</v>
      </c>
      <c r="F166" t="s">
        <v>1070</v>
      </c>
      <c r="G166" t="s">
        <v>1070</v>
      </c>
      <c r="H166" t="s">
        <v>316</v>
      </c>
      <c r="I166" t="s">
        <v>317</v>
      </c>
      <c r="J166" t="s">
        <v>210</v>
      </c>
      <c r="K166" t="s">
        <v>122</v>
      </c>
      <c r="L166" t="s">
        <v>381</v>
      </c>
      <c r="M166" t="s">
        <v>1071</v>
      </c>
      <c r="N166" t="s">
        <v>1071</v>
      </c>
    </row>
    <row r="167" spans="1:14">
      <c r="A167" t="s">
        <v>1072</v>
      </c>
      <c r="B167" t="s">
        <v>1073</v>
      </c>
      <c r="C167" t="s">
        <v>1074</v>
      </c>
      <c r="D167" t="s">
        <v>1075</v>
      </c>
      <c r="E167" t="s">
        <v>335</v>
      </c>
      <c r="F167" t="s">
        <v>1075</v>
      </c>
      <c r="G167" t="s">
        <v>1075</v>
      </c>
      <c r="H167" t="s">
        <v>316</v>
      </c>
      <c r="I167" t="s">
        <v>317</v>
      </c>
      <c r="J167" t="s">
        <v>424</v>
      </c>
      <c r="K167" t="s">
        <v>122</v>
      </c>
      <c r="L167" t="s">
        <v>451</v>
      </c>
      <c r="M167" t="s">
        <v>1076</v>
      </c>
      <c r="N167" t="s">
        <v>1076</v>
      </c>
    </row>
    <row r="168" spans="1:14">
      <c r="A168" t="s">
        <v>1077</v>
      </c>
      <c r="B168" t="s">
        <v>1078</v>
      </c>
      <c r="C168" t="s">
        <v>1079</v>
      </c>
      <c r="D168" t="s">
        <v>1080</v>
      </c>
      <c r="E168" t="s">
        <v>343</v>
      </c>
      <c r="F168" t="s">
        <v>1080</v>
      </c>
      <c r="G168" t="s">
        <v>1080</v>
      </c>
      <c r="H168" t="s">
        <v>306</v>
      </c>
      <c r="I168" t="s">
        <v>612</v>
      </c>
      <c r="J168" t="s">
        <v>210</v>
      </c>
      <c r="K168" t="s">
        <v>122</v>
      </c>
      <c r="L168" t="s">
        <v>350</v>
      </c>
      <c r="M168" t="s">
        <v>1081</v>
      </c>
      <c r="N168" t="s">
        <v>1081</v>
      </c>
    </row>
    <row r="169" spans="1:14">
      <c r="A169" t="s">
        <v>1082</v>
      </c>
      <c r="B169" t="s">
        <v>1083</v>
      </c>
      <c r="C169" t="s">
        <v>1084</v>
      </c>
      <c r="D169" t="s">
        <v>1085</v>
      </c>
      <c r="E169" t="s">
        <v>364</v>
      </c>
      <c r="F169" t="s">
        <v>1085</v>
      </c>
      <c r="G169" t="s">
        <v>1085</v>
      </c>
      <c r="H169" t="s">
        <v>316</v>
      </c>
      <c r="I169" t="s">
        <v>317</v>
      </c>
      <c r="J169" t="s">
        <v>357</v>
      </c>
      <c r="K169" t="s">
        <v>122</v>
      </c>
      <c r="L169" t="s">
        <v>358</v>
      </c>
      <c r="M169" t="s">
        <v>1086</v>
      </c>
      <c r="N169" t="s">
        <v>1086</v>
      </c>
    </row>
    <row r="170" spans="1:14">
      <c r="A170" t="s">
        <v>1087</v>
      </c>
      <c r="B170" t="s">
        <v>722</v>
      </c>
      <c r="C170" t="s">
        <v>723</v>
      </c>
      <c r="D170" t="s">
        <v>423</v>
      </c>
      <c r="E170" t="s">
        <v>335</v>
      </c>
      <c r="F170" t="s">
        <v>423</v>
      </c>
      <c r="G170" t="s">
        <v>423</v>
      </c>
      <c r="H170" t="s">
        <v>316</v>
      </c>
      <c r="I170" t="s">
        <v>317</v>
      </c>
      <c r="J170" t="s">
        <v>376</v>
      </c>
      <c r="K170" t="s">
        <v>122</v>
      </c>
      <c r="L170" t="s">
        <v>358</v>
      </c>
      <c r="M170" t="s">
        <v>1088</v>
      </c>
      <c r="N170" t="s">
        <v>1088</v>
      </c>
    </row>
    <row r="171" spans="1:14">
      <c r="A171" t="s">
        <v>1089</v>
      </c>
      <c r="B171" t="s">
        <v>1090</v>
      </c>
      <c r="C171" t="s">
        <v>1091</v>
      </c>
      <c r="D171" t="s">
        <v>1092</v>
      </c>
      <c r="E171" t="s">
        <v>574</v>
      </c>
      <c r="F171" t="s">
        <v>1092</v>
      </c>
      <c r="G171" t="s">
        <v>1092</v>
      </c>
      <c r="H171" t="s">
        <v>316</v>
      </c>
      <c r="I171" t="s">
        <v>531</v>
      </c>
      <c r="J171" t="s">
        <v>507</v>
      </c>
      <c r="K171" t="s">
        <v>122</v>
      </c>
      <c r="L171" t="s">
        <v>329</v>
      </c>
      <c r="M171" t="s">
        <v>1093</v>
      </c>
      <c r="N171" t="s">
        <v>1093</v>
      </c>
    </row>
    <row r="172" spans="1:14">
      <c r="A172" t="s">
        <v>1094</v>
      </c>
      <c r="B172" t="s">
        <v>1095</v>
      </c>
      <c r="C172" t="s">
        <v>1096</v>
      </c>
      <c r="D172" t="s">
        <v>1097</v>
      </c>
      <c r="E172" t="s">
        <v>343</v>
      </c>
      <c r="F172" t="s">
        <v>1097</v>
      </c>
      <c r="G172" t="s">
        <v>1097</v>
      </c>
      <c r="H172" t="s">
        <v>316</v>
      </c>
      <c r="I172" t="s">
        <v>327</v>
      </c>
      <c r="J172" t="s">
        <v>318</v>
      </c>
      <c r="K172" t="s">
        <v>122</v>
      </c>
      <c r="L172" t="s">
        <v>368</v>
      </c>
      <c r="M172" t="s">
        <v>1093</v>
      </c>
      <c r="N172" t="s">
        <v>1093</v>
      </c>
    </row>
    <row r="173" spans="1:14">
      <c r="A173" t="s">
        <v>1098</v>
      </c>
      <c r="B173" t="s">
        <v>1034</v>
      </c>
      <c r="C173" t="s">
        <v>1035</v>
      </c>
      <c r="D173" t="s">
        <v>1099</v>
      </c>
      <c r="E173" t="s">
        <v>325</v>
      </c>
      <c r="F173" t="s">
        <v>1099</v>
      </c>
      <c r="G173" t="s">
        <v>1099</v>
      </c>
      <c r="H173" t="s">
        <v>306</v>
      </c>
      <c r="I173" t="s">
        <v>612</v>
      </c>
      <c r="J173" t="s">
        <v>424</v>
      </c>
      <c r="K173" t="s">
        <v>122</v>
      </c>
      <c r="L173" t="s">
        <v>350</v>
      </c>
      <c r="M173" t="s">
        <v>1100</v>
      </c>
      <c r="N173" t="s">
        <v>1100</v>
      </c>
    </row>
    <row r="174" spans="1:14">
      <c r="A174" t="s">
        <v>1101</v>
      </c>
      <c r="B174" t="s">
        <v>1102</v>
      </c>
      <c r="C174" t="s">
        <v>1103</v>
      </c>
      <c r="D174" t="s">
        <v>1104</v>
      </c>
      <c r="E174" t="s">
        <v>343</v>
      </c>
      <c r="F174" t="s">
        <v>1104</v>
      </c>
      <c r="G174" t="s">
        <v>1104</v>
      </c>
      <c r="H174" t="s">
        <v>316</v>
      </c>
      <c r="I174" t="s">
        <v>317</v>
      </c>
      <c r="J174" t="s">
        <v>397</v>
      </c>
      <c r="K174" t="s">
        <v>122</v>
      </c>
      <c r="L174" t="s">
        <v>309</v>
      </c>
      <c r="M174" t="s">
        <v>1105</v>
      </c>
      <c r="N174" t="s">
        <v>1105</v>
      </c>
    </row>
    <row r="175" spans="1:14">
      <c r="A175" t="s">
        <v>1106</v>
      </c>
      <c r="B175" t="s">
        <v>454</v>
      </c>
      <c r="C175" t="s">
        <v>455</v>
      </c>
      <c r="D175" t="s">
        <v>649</v>
      </c>
      <c r="E175" t="s">
        <v>335</v>
      </c>
      <c r="F175" t="s">
        <v>649</v>
      </c>
      <c r="G175" t="s">
        <v>649</v>
      </c>
      <c r="H175" t="s">
        <v>316</v>
      </c>
      <c r="I175" t="s">
        <v>317</v>
      </c>
      <c r="J175" t="s">
        <v>308</v>
      </c>
      <c r="K175" t="s">
        <v>122</v>
      </c>
      <c r="L175" t="s">
        <v>309</v>
      </c>
      <c r="M175" t="s">
        <v>1106</v>
      </c>
      <c r="N175" t="s">
        <v>1106</v>
      </c>
    </row>
    <row r="176" spans="1:14">
      <c r="A176" t="s">
        <v>1107</v>
      </c>
      <c r="B176" t="s">
        <v>1108</v>
      </c>
      <c r="C176" t="s">
        <v>1109</v>
      </c>
      <c r="D176" t="s">
        <v>395</v>
      </c>
      <c r="E176" t="s">
        <v>315</v>
      </c>
      <c r="F176" t="s">
        <v>395</v>
      </c>
      <c r="G176" t="s">
        <v>395</v>
      </c>
      <c r="H176" t="s">
        <v>316</v>
      </c>
      <c r="I176" t="s">
        <v>317</v>
      </c>
      <c r="J176" t="s">
        <v>318</v>
      </c>
      <c r="K176" t="s">
        <v>122</v>
      </c>
      <c r="L176" t="s">
        <v>381</v>
      </c>
      <c r="M176" t="s">
        <v>1110</v>
      </c>
      <c r="N176" t="s">
        <v>1110</v>
      </c>
    </row>
    <row r="177" spans="1:14">
      <c r="A177" t="s">
        <v>1111</v>
      </c>
      <c r="B177" t="s">
        <v>1112</v>
      </c>
      <c r="C177" t="s">
        <v>1113</v>
      </c>
      <c r="D177" t="s">
        <v>1114</v>
      </c>
      <c r="E177" t="s">
        <v>335</v>
      </c>
      <c r="F177" t="s">
        <v>1114</v>
      </c>
      <c r="G177" t="s">
        <v>1114</v>
      </c>
      <c r="H177" t="s">
        <v>327</v>
      </c>
      <c r="I177" t="s">
        <v>327</v>
      </c>
      <c r="J177" t="s">
        <v>318</v>
      </c>
      <c r="K177" t="s">
        <v>122</v>
      </c>
      <c r="L177" t="s">
        <v>319</v>
      </c>
      <c r="M177" t="s">
        <v>1115</v>
      </c>
      <c r="N177" t="s">
        <v>1115</v>
      </c>
    </row>
    <row r="178" spans="1:14">
      <c r="A178" t="s">
        <v>1116</v>
      </c>
      <c r="B178" t="s">
        <v>1117</v>
      </c>
      <c r="C178" t="s">
        <v>1118</v>
      </c>
      <c r="D178" t="s">
        <v>1119</v>
      </c>
      <c r="E178" t="s">
        <v>335</v>
      </c>
      <c r="F178" t="s">
        <v>866</v>
      </c>
      <c r="G178" t="s">
        <v>866</v>
      </c>
      <c r="H178" t="s">
        <v>316</v>
      </c>
      <c r="I178" t="s">
        <v>317</v>
      </c>
      <c r="J178" t="s">
        <v>318</v>
      </c>
      <c r="K178" t="s">
        <v>122</v>
      </c>
      <c r="L178" t="s">
        <v>368</v>
      </c>
      <c r="M178" t="s">
        <v>1120</v>
      </c>
      <c r="N178" t="s">
        <v>1120</v>
      </c>
    </row>
    <row r="179" spans="1:14">
      <c r="A179" t="s">
        <v>1121</v>
      </c>
      <c r="B179" t="s">
        <v>540</v>
      </c>
      <c r="C179" t="s">
        <v>541</v>
      </c>
      <c r="D179" t="s">
        <v>1122</v>
      </c>
      <c r="E179" t="s">
        <v>335</v>
      </c>
      <c r="F179" t="s">
        <v>1122</v>
      </c>
      <c r="G179" t="s">
        <v>1122</v>
      </c>
      <c r="H179" t="s">
        <v>316</v>
      </c>
      <c r="I179" t="s">
        <v>531</v>
      </c>
      <c r="J179" t="s">
        <v>318</v>
      </c>
      <c r="K179" t="s">
        <v>122</v>
      </c>
      <c r="L179" t="s">
        <v>381</v>
      </c>
      <c r="M179" t="s">
        <v>1123</v>
      </c>
      <c r="N179" t="s">
        <v>1123</v>
      </c>
    </row>
    <row r="180" spans="1:14">
      <c r="A180" t="s">
        <v>1124</v>
      </c>
      <c r="B180" t="s">
        <v>561</v>
      </c>
      <c r="C180" t="s">
        <v>561</v>
      </c>
      <c r="D180" t="s">
        <v>1122</v>
      </c>
      <c r="E180" t="s">
        <v>364</v>
      </c>
      <c r="F180" t="s">
        <v>1122</v>
      </c>
      <c r="G180" t="s">
        <v>1122</v>
      </c>
      <c r="H180" t="s">
        <v>316</v>
      </c>
      <c r="I180" t="s">
        <v>531</v>
      </c>
      <c r="J180" t="s">
        <v>308</v>
      </c>
      <c r="K180" t="s">
        <v>122</v>
      </c>
      <c r="L180" t="s">
        <v>381</v>
      </c>
      <c r="M180" t="s">
        <v>1123</v>
      </c>
      <c r="N180" t="s">
        <v>1123</v>
      </c>
    </row>
    <row r="181" spans="1:14">
      <c r="A181" t="s">
        <v>1125</v>
      </c>
      <c r="B181" t="s">
        <v>322</v>
      </c>
      <c r="C181" t="s">
        <v>323</v>
      </c>
      <c r="D181" t="s">
        <v>1126</v>
      </c>
      <c r="E181" t="s">
        <v>325</v>
      </c>
      <c r="F181" t="s">
        <v>1126</v>
      </c>
      <c r="G181" t="s">
        <v>1126</v>
      </c>
      <c r="H181" t="s">
        <v>316</v>
      </c>
      <c r="I181" t="s">
        <v>317</v>
      </c>
      <c r="J181" t="s">
        <v>328</v>
      </c>
      <c r="K181" t="s">
        <v>122</v>
      </c>
      <c r="L181" t="s">
        <v>329</v>
      </c>
      <c r="M181" t="s">
        <v>1127</v>
      </c>
      <c r="N181" t="s">
        <v>1127</v>
      </c>
    </row>
    <row r="182" spans="1:14">
      <c r="A182" t="s">
        <v>1128</v>
      </c>
      <c r="B182" t="s">
        <v>1129</v>
      </c>
      <c r="C182" t="s">
        <v>1130</v>
      </c>
      <c r="D182" t="s">
        <v>1131</v>
      </c>
      <c r="E182" t="s">
        <v>364</v>
      </c>
      <c r="F182" t="s">
        <v>1131</v>
      </c>
      <c r="G182" t="s">
        <v>1131</v>
      </c>
      <c r="H182" t="s">
        <v>316</v>
      </c>
      <c r="I182" t="s">
        <v>531</v>
      </c>
      <c r="J182" t="s">
        <v>367</v>
      </c>
      <c r="K182" t="s">
        <v>486</v>
      </c>
      <c r="L182" t="s">
        <v>386</v>
      </c>
      <c r="M182" t="s">
        <v>1127</v>
      </c>
      <c r="N182" t="s">
        <v>1127</v>
      </c>
    </row>
    <row r="183" spans="1:14">
      <c r="A183" t="s">
        <v>1132</v>
      </c>
      <c r="B183" t="s">
        <v>469</v>
      </c>
      <c r="C183" t="s">
        <v>470</v>
      </c>
      <c r="D183" t="s">
        <v>701</v>
      </c>
      <c r="E183" t="s">
        <v>335</v>
      </c>
      <c r="F183" t="s">
        <v>375</v>
      </c>
      <c r="G183" t="s">
        <v>375</v>
      </c>
      <c r="H183" t="s">
        <v>316</v>
      </c>
      <c r="I183" t="s">
        <v>317</v>
      </c>
      <c r="J183" t="s">
        <v>318</v>
      </c>
      <c r="K183" t="s">
        <v>122</v>
      </c>
      <c r="L183" t="s">
        <v>358</v>
      </c>
      <c r="M183" t="s">
        <v>1133</v>
      </c>
      <c r="N183" t="s">
        <v>1133</v>
      </c>
    </row>
    <row r="184" spans="1:14">
      <c r="A184" t="s">
        <v>1134</v>
      </c>
      <c r="B184" t="s">
        <v>1135</v>
      </c>
      <c r="C184" t="s">
        <v>1136</v>
      </c>
      <c r="D184" t="s">
        <v>1137</v>
      </c>
      <c r="E184" t="s">
        <v>325</v>
      </c>
      <c r="F184" t="s">
        <v>1137</v>
      </c>
      <c r="G184" t="s">
        <v>1137</v>
      </c>
      <c r="H184" t="s">
        <v>316</v>
      </c>
      <c r="I184" t="s">
        <v>531</v>
      </c>
      <c r="J184" t="s">
        <v>328</v>
      </c>
      <c r="K184" t="s">
        <v>122</v>
      </c>
      <c r="L184" t="s">
        <v>329</v>
      </c>
      <c r="M184" t="s">
        <v>1138</v>
      </c>
      <c r="N184" t="s">
        <v>1138</v>
      </c>
    </row>
    <row r="185" spans="1:14">
      <c r="A185" t="s">
        <v>1139</v>
      </c>
      <c r="B185" t="s">
        <v>439</v>
      </c>
      <c r="C185" t="s">
        <v>440</v>
      </c>
      <c r="D185" t="s">
        <v>1140</v>
      </c>
      <c r="E185" t="s">
        <v>325</v>
      </c>
      <c r="F185" t="s">
        <v>1140</v>
      </c>
      <c r="G185" t="s">
        <v>1140</v>
      </c>
      <c r="H185" t="s">
        <v>316</v>
      </c>
      <c r="I185" t="s">
        <v>317</v>
      </c>
      <c r="J185" t="s">
        <v>357</v>
      </c>
      <c r="K185" t="s">
        <v>122</v>
      </c>
      <c r="L185" t="s">
        <v>451</v>
      </c>
      <c r="M185" t="s">
        <v>1141</v>
      </c>
      <c r="N185" t="s">
        <v>1141</v>
      </c>
    </row>
    <row r="186" spans="1:14">
      <c r="A186" t="s">
        <v>1142</v>
      </c>
      <c r="B186" t="s">
        <v>1143</v>
      </c>
      <c r="C186" t="s">
        <v>1144</v>
      </c>
      <c r="D186" t="s">
        <v>1145</v>
      </c>
      <c r="E186" t="s">
        <v>325</v>
      </c>
      <c r="F186" t="s">
        <v>1145</v>
      </c>
      <c r="G186" t="s">
        <v>1145</v>
      </c>
      <c r="H186" t="s">
        <v>306</v>
      </c>
      <c r="I186" t="s">
        <v>307</v>
      </c>
      <c r="J186" t="s">
        <v>308</v>
      </c>
      <c r="K186" t="s">
        <v>122</v>
      </c>
      <c r="L186" t="s">
        <v>822</v>
      </c>
      <c r="M186" t="s">
        <v>1146</v>
      </c>
      <c r="N186" t="s">
        <v>1146</v>
      </c>
    </row>
    <row r="187" spans="1:14">
      <c r="A187" t="s">
        <v>1147</v>
      </c>
      <c r="B187" t="s">
        <v>939</v>
      </c>
      <c r="C187" t="s">
        <v>940</v>
      </c>
      <c r="D187" t="s">
        <v>1148</v>
      </c>
      <c r="E187" t="s">
        <v>335</v>
      </c>
      <c r="F187" t="s">
        <v>1148</v>
      </c>
      <c r="G187" t="s">
        <v>1148</v>
      </c>
      <c r="H187" t="s">
        <v>316</v>
      </c>
      <c r="I187" t="s">
        <v>317</v>
      </c>
      <c r="J187" t="s">
        <v>318</v>
      </c>
      <c r="K187" t="s">
        <v>122</v>
      </c>
      <c r="L187" t="s">
        <v>381</v>
      </c>
      <c r="M187" t="s">
        <v>1149</v>
      </c>
      <c r="N187" t="s">
        <v>1149</v>
      </c>
    </row>
    <row r="188" spans="1:14">
      <c r="A188" t="s">
        <v>1150</v>
      </c>
      <c r="B188" t="s">
        <v>1151</v>
      </c>
      <c r="C188" t="s">
        <v>1152</v>
      </c>
      <c r="D188" t="s">
        <v>1153</v>
      </c>
      <c r="E188" t="s">
        <v>325</v>
      </c>
      <c r="F188" t="s">
        <v>1153</v>
      </c>
      <c r="G188" t="s">
        <v>1153</v>
      </c>
      <c r="H188" t="s">
        <v>306</v>
      </c>
      <c r="I188" t="s">
        <v>307</v>
      </c>
      <c r="J188" t="s">
        <v>308</v>
      </c>
      <c r="K188" t="s">
        <v>122</v>
      </c>
      <c r="L188" t="s">
        <v>791</v>
      </c>
      <c r="M188" t="s">
        <v>1154</v>
      </c>
      <c r="N188" t="s">
        <v>1154</v>
      </c>
    </row>
    <row r="189" spans="1:14">
      <c r="A189" t="s">
        <v>1155</v>
      </c>
      <c r="B189" t="s">
        <v>1156</v>
      </c>
      <c r="C189" t="s">
        <v>1157</v>
      </c>
      <c r="D189" t="s">
        <v>1158</v>
      </c>
      <c r="E189" t="s">
        <v>325</v>
      </c>
      <c r="F189" t="s">
        <v>1158</v>
      </c>
      <c r="G189" t="s">
        <v>1158</v>
      </c>
      <c r="H189" t="s">
        <v>306</v>
      </c>
      <c r="I189" t="s">
        <v>307</v>
      </c>
      <c r="J189" t="s">
        <v>418</v>
      </c>
      <c r="K189" t="s">
        <v>122</v>
      </c>
      <c r="L189" t="s">
        <v>791</v>
      </c>
      <c r="M189" t="s">
        <v>1154</v>
      </c>
      <c r="N189" t="s">
        <v>1154</v>
      </c>
    </row>
    <row r="190" spans="1:14">
      <c r="A190" t="s">
        <v>1159</v>
      </c>
      <c r="B190" t="s">
        <v>1160</v>
      </c>
      <c r="C190" t="s">
        <v>1161</v>
      </c>
      <c r="D190" t="s">
        <v>1162</v>
      </c>
      <c r="E190" t="s">
        <v>740</v>
      </c>
      <c r="F190" t="s">
        <v>1162</v>
      </c>
      <c r="G190" t="s">
        <v>1162</v>
      </c>
      <c r="H190" t="s">
        <v>316</v>
      </c>
      <c r="I190" t="s">
        <v>317</v>
      </c>
      <c r="J190" t="s">
        <v>318</v>
      </c>
      <c r="K190" t="s">
        <v>122</v>
      </c>
      <c r="L190" t="s">
        <v>381</v>
      </c>
      <c r="M190" t="s">
        <v>1163</v>
      </c>
      <c r="N190" t="s">
        <v>1163</v>
      </c>
    </row>
    <row r="191" spans="1:14">
      <c r="A191" t="s">
        <v>1164</v>
      </c>
      <c r="B191" t="s">
        <v>1165</v>
      </c>
      <c r="C191" t="s">
        <v>1166</v>
      </c>
      <c r="D191" t="s">
        <v>1167</v>
      </c>
      <c r="E191" t="s">
        <v>335</v>
      </c>
      <c r="F191" t="s">
        <v>1167</v>
      </c>
      <c r="G191" t="s">
        <v>1167</v>
      </c>
      <c r="H191" t="s">
        <v>316</v>
      </c>
      <c r="I191" t="s">
        <v>531</v>
      </c>
      <c r="J191" t="s">
        <v>308</v>
      </c>
      <c r="K191" t="s">
        <v>122</v>
      </c>
      <c r="L191" t="s">
        <v>350</v>
      </c>
      <c r="M191" t="s">
        <v>1168</v>
      </c>
      <c r="N191" t="s">
        <v>1168</v>
      </c>
    </row>
    <row r="192" spans="1:14">
      <c r="A192" t="s">
        <v>1169</v>
      </c>
      <c r="B192" t="s">
        <v>1170</v>
      </c>
      <c r="C192" t="s">
        <v>1171</v>
      </c>
      <c r="D192" t="s">
        <v>1172</v>
      </c>
      <c r="E192" t="s">
        <v>325</v>
      </c>
      <c r="F192" t="s">
        <v>1172</v>
      </c>
      <c r="G192" t="s">
        <v>1172</v>
      </c>
      <c r="H192" t="s">
        <v>306</v>
      </c>
      <c r="I192" t="s">
        <v>307</v>
      </c>
      <c r="J192" t="s">
        <v>210</v>
      </c>
      <c r="K192" t="s">
        <v>122</v>
      </c>
      <c r="L192" t="s">
        <v>381</v>
      </c>
      <c r="M192" t="s">
        <v>1173</v>
      </c>
      <c r="N192" t="s">
        <v>1173</v>
      </c>
    </row>
    <row r="193" spans="1:14">
      <c r="A193" t="s">
        <v>1174</v>
      </c>
      <c r="B193" t="s">
        <v>1175</v>
      </c>
      <c r="C193" t="s">
        <v>1176</v>
      </c>
      <c r="D193" t="s">
        <v>756</v>
      </c>
      <c r="E193" t="s">
        <v>343</v>
      </c>
      <c r="F193" t="s">
        <v>756</v>
      </c>
      <c r="G193" t="s">
        <v>756</v>
      </c>
      <c r="H193" t="s">
        <v>316</v>
      </c>
      <c r="I193" t="s">
        <v>531</v>
      </c>
      <c r="J193" t="s">
        <v>318</v>
      </c>
      <c r="K193" t="s">
        <v>122</v>
      </c>
      <c r="L193" t="s">
        <v>309</v>
      </c>
      <c r="M193" t="s">
        <v>1177</v>
      </c>
      <c r="N193" t="s">
        <v>1177</v>
      </c>
    </row>
    <row r="194" spans="1:14">
      <c r="A194" t="s">
        <v>1178</v>
      </c>
      <c r="B194" t="s">
        <v>1179</v>
      </c>
      <c r="C194" t="s">
        <v>1180</v>
      </c>
      <c r="D194" t="s">
        <v>1181</v>
      </c>
      <c r="E194" t="s">
        <v>374</v>
      </c>
      <c r="F194" t="s">
        <v>1181</v>
      </c>
      <c r="G194" t="s">
        <v>1181</v>
      </c>
      <c r="H194" t="s">
        <v>316</v>
      </c>
      <c r="I194" t="s">
        <v>317</v>
      </c>
      <c r="J194" t="s">
        <v>318</v>
      </c>
      <c r="K194" t="s">
        <v>122</v>
      </c>
      <c r="L194" t="s">
        <v>381</v>
      </c>
      <c r="M194" t="s">
        <v>1182</v>
      </c>
      <c r="N194" t="s">
        <v>1182</v>
      </c>
    </row>
    <row r="195" spans="1:14">
      <c r="A195" t="s">
        <v>1183</v>
      </c>
      <c r="B195" t="s">
        <v>1179</v>
      </c>
      <c r="C195" t="s">
        <v>1180</v>
      </c>
      <c r="D195" t="s">
        <v>1184</v>
      </c>
      <c r="E195" t="s">
        <v>335</v>
      </c>
      <c r="F195" t="s">
        <v>1185</v>
      </c>
      <c r="G195" t="s">
        <v>1185</v>
      </c>
      <c r="H195" t="s">
        <v>316</v>
      </c>
      <c r="I195" t="s">
        <v>317</v>
      </c>
      <c r="J195" t="s">
        <v>318</v>
      </c>
      <c r="K195" t="s">
        <v>122</v>
      </c>
      <c r="L195" t="s">
        <v>327</v>
      </c>
      <c r="M195" t="s">
        <v>1183</v>
      </c>
      <c r="N195" t="s">
        <v>1183</v>
      </c>
    </row>
    <row r="196" spans="1:14">
      <c r="A196" t="s">
        <v>1186</v>
      </c>
      <c r="B196" t="s">
        <v>1187</v>
      </c>
      <c r="C196" t="s">
        <v>1188</v>
      </c>
      <c r="D196" t="s">
        <v>1189</v>
      </c>
      <c r="E196" t="s">
        <v>305</v>
      </c>
      <c r="F196" t="s">
        <v>1190</v>
      </c>
      <c r="G196" t="s">
        <v>1190</v>
      </c>
      <c r="H196" t="s">
        <v>316</v>
      </c>
      <c r="I196" t="s">
        <v>531</v>
      </c>
      <c r="J196" t="s">
        <v>803</v>
      </c>
      <c r="K196" t="s">
        <v>122</v>
      </c>
      <c r="L196" t="s">
        <v>368</v>
      </c>
      <c r="M196" t="s">
        <v>1191</v>
      </c>
      <c r="N196" t="s">
        <v>1191</v>
      </c>
    </row>
    <row r="197" spans="1:14">
      <c r="A197" t="s">
        <v>1192</v>
      </c>
      <c r="B197" t="s">
        <v>469</v>
      </c>
      <c r="C197" t="s">
        <v>470</v>
      </c>
      <c r="D197" t="s">
        <v>1193</v>
      </c>
      <c r="E197" t="s">
        <v>325</v>
      </c>
      <c r="F197" t="s">
        <v>1067</v>
      </c>
      <c r="G197" t="s">
        <v>1067</v>
      </c>
      <c r="H197" t="s">
        <v>316</v>
      </c>
      <c r="I197" t="s">
        <v>317</v>
      </c>
      <c r="J197" t="s">
        <v>328</v>
      </c>
      <c r="K197" t="s">
        <v>122</v>
      </c>
      <c r="L197" t="s">
        <v>368</v>
      </c>
      <c r="M197" t="s">
        <v>1194</v>
      </c>
      <c r="N197" t="s">
        <v>1194</v>
      </c>
    </row>
    <row r="198" spans="1:14">
      <c r="A198" t="s">
        <v>1195</v>
      </c>
      <c r="B198" t="s">
        <v>534</v>
      </c>
      <c r="C198" t="s">
        <v>535</v>
      </c>
      <c r="D198" t="s">
        <v>1196</v>
      </c>
      <c r="E198" t="s">
        <v>325</v>
      </c>
      <c r="F198" t="s">
        <v>1196</v>
      </c>
      <c r="G198" t="s">
        <v>1196</v>
      </c>
      <c r="H198" t="s">
        <v>316</v>
      </c>
      <c r="I198" t="s">
        <v>317</v>
      </c>
      <c r="J198" t="s">
        <v>397</v>
      </c>
      <c r="K198" t="s">
        <v>122</v>
      </c>
      <c r="L198" t="s">
        <v>822</v>
      </c>
      <c r="M198" t="s">
        <v>1197</v>
      </c>
      <c r="N198" t="s">
        <v>1197</v>
      </c>
    </row>
    <row r="199" spans="1:14">
      <c r="A199" t="s">
        <v>1198</v>
      </c>
      <c r="B199" t="s">
        <v>1199</v>
      </c>
      <c r="C199" t="s">
        <v>1200</v>
      </c>
      <c r="D199" t="s">
        <v>1201</v>
      </c>
      <c r="E199" t="s">
        <v>315</v>
      </c>
      <c r="F199" t="s">
        <v>1201</v>
      </c>
      <c r="G199" t="s">
        <v>1201</v>
      </c>
      <c r="H199" t="s">
        <v>431</v>
      </c>
      <c r="I199" t="s">
        <v>327</v>
      </c>
      <c r="J199" t="s">
        <v>424</v>
      </c>
      <c r="K199" t="s">
        <v>122</v>
      </c>
      <c r="L199" t="s">
        <v>386</v>
      </c>
      <c r="M199" t="s">
        <v>1202</v>
      </c>
      <c r="N199" t="s">
        <v>1202</v>
      </c>
    </row>
    <row r="200" spans="1:14">
      <c r="A200" t="s">
        <v>1203</v>
      </c>
      <c r="B200" t="s">
        <v>504</v>
      </c>
      <c r="C200" t="s">
        <v>505</v>
      </c>
      <c r="D200" t="s">
        <v>1204</v>
      </c>
      <c r="E200" t="s">
        <v>325</v>
      </c>
      <c r="F200" t="s">
        <v>1204</v>
      </c>
      <c r="G200" t="s">
        <v>1204</v>
      </c>
      <c r="H200" t="s">
        <v>306</v>
      </c>
      <c r="I200" t="s">
        <v>307</v>
      </c>
      <c r="J200" t="s">
        <v>328</v>
      </c>
      <c r="K200" t="s">
        <v>122</v>
      </c>
      <c r="L200" t="s">
        <v>329</v>
      </c>
      <c r="M200" t="s">
        <v>1205</v>
      </c>
      <c r="N200" t="s">
        <v>1205</v>
      </c>
    </row>
    <row r="201" spans="1:14">
      <c r="A201" t="s">
        <v>1206</v>
      </c>
      <c r="B201" t="s">
        <v>1207</v>
      </c>
      <c r="C201" t="s">
        <v>1208</v>
      </c>
      <c r="D201" t="s">
        <v>1209</v>
      </c>
      <c r="E201" t="s">
        <v>1210</v>
      </c>
      <c r="F201" t="s">
        <v>1209</v>
      </c>
      <c r="G201" t="s">
        <v>1209</v>
      </c>
      <c r="H201" t="s">
        <v>306</v>
      </c>
      <c r="I201" t="s">
        <v>307</v>
      </c>
      <c r="J201" t="s">
        <v>424</v>
      </c>
      <c r="K201" t="s">
        <v>122</v>
      </c>
      <c r="L201" t="s">
        <v>451</v>
      </c>
      <c r="M201" t="s">
        <v>1211</v>
      </c>
      <c r="N201" t="s">
        <v>1211</v>
      </c>
    </row>
    <row r="202" spans="1:14">
      <c r="A202" t="s">
        <v>1212</v>
      </c>
      <c r="B202" t="s">
        <v>378</v>
      </c>
      <c r="C202" t="s">
        <v>379</v>
      </c>
      <c r="D202" t="s">
        <v>1213</v>
      </c>
      <c r="E202" t="s">
        <v>343</v>
      </c>
      <c r="F202" t="s">
        <v>1213</v>
      </c>
      <c r="G202" t="s">
        <v>1213</v>
      </c>
      <c r="H202" t="s">
        <v>316</v>
      </c>
      <c r="I202" t="s">
        <v>531</v>
      </c>
      <c r="J202" t="s">
        <v>397</v>
      </c>
      <c r="K202" t="s">
        <v>122</v>
      </c>
      <c r="L202" t="s">
        <v>350</v>
      </c>
      <c r="M202" t="s">
        <v>1214</v>
      </c>
      <c r="N202" t="s">
        <v>1214</v>
      </c>
    </row>
    <row r="203" spans="1:14">
      <c r="A203" t="s">
        <v>1215</v>
      </c>
      <c r="B203" t="s">
        <v>1216</v>
      </c>
      <c r="C203" t="s">
        <v>1217</v>
      </c>
      <c r="D203" t="s">
        <v>1218</v>
      </c>
      <c r="E203" t="s">
        <v>1219</v>
      </c>
      <c r="F203" t="s">
        <v>1218</v>
      </c>
      <c r="G203" t="s">
        <v>1218</v>
      </c>
      <c r="H203" t="s">
        <v>316</v>
      </c>
      <c r="I203" t="s">
        <v>317</v>
      </c>
      <c r="J203" t="s">
        <v>418</v>
      </c>
      <c r="K203" t="s">
        <v>122</v>
      </c>
      <c r="L203" t="s">
        <v>822</v>
      </c>
      <c r="M203" t="s">
        <v>1220</v>
      </c>
      <c r="N203" t="s">
        <v>1220</v>
      </c>
    </row>
    <row r="204" spans="1:14">
      <c r="A204" t="s">
        <v>1221</v>
      </c>
      <c r="B204" t="s">
        <v>1222</v>
      </c>
      <c r="C204" t="s">
        <v>1223</v>
      </c>
      <c r="D204" t="s">
        <v>1218</v>
      </c>
      <c r="E204" t="s">
        <v>1219</v>
      </c>
      <c r="F204" t="s">
        <v>1218</v>
      </c>
      <c r="G204" t="s">
        <v>1218</v>
      </c>
      <c r="H204" t="s">
        <v>316</v>
      </c>
      <c r="I204" t="s">
        <v>317</v>
      </c>
      <c r="J204" t="s">
        <v>424</v>
      </c>
      <c r="K204" t="s">
        <v>122</v>
      </c>
      <c r="L204" t="s">
        <v>822</v>
      </c>
      <c r="M204" t="s">
        <v>1220</v>
      </c>
      <c r="N204" t="s">
        <v>1220</v>
      </c>
    </row>
    <row r="205" spans="1:14">
      <c r="A205" t="s">
        <v>1224</v>
      </c>
      <c r="B205" t="s">
        <v>1225</v>
      </c>
      <c r="C205" t="s">
        <v>1226</v>
      </c>
      <c r="D205" t="s">
        <v>1227</v>
      </c>
      <c r="E205" t="s">
        <v>364</v>
      </c>
      <c r="F205" t="s">
        <v>1227</v>
      </c>
      <c r="G205" t="s">
        <v>1227</v>
      </c>
      <c r="H205" t="s">
        <v>316</v>
      </c>
      <c r="I205" t="s">
        <v>317</v>
      </c>
      <c r="J205" t="s">
        <v>318</v>
      </c>
      <c r="K205" t="s">
        <v>122</v>
      </c>
      <c r="L205" t="s">
        <v>791</v>
      </c>
      <c r="M205" t="s">
        <v>1228</v>
      </c>
      <c r="N205" t="s">
        <v>1228</v>
      </c>
    </row>
    <row r="206" spans="1:14">
      <c r="A206" t="s">
        <v>1229</v>
      </c>
      <c r="B206" t="s">
        <v>602</v>
      </c>
      <c r="C206" t="s">
        <v>603</v>
      </c>
      <c r="D206" t="s">
        <v>865</v>
      </c>
      <c r="E206" t="s">
        <v>335</v>
      </c>
      <c r="F206" t="s">
        <v>865</v>
      </c>
      <c r="G206" t="s">
        <v>865</v>
      </c>
      <c r="H206" t="s">
        <v>316</v>
      </c>
      <c r="I206" t="s">
        <v>317</v>
      </c>
      <c r="J206" t="s">
        <v>318</v>
      </c>
      <c r="K206" t="s">
        <v>122</v>
      </c>
      <c r="L206" t="s">
        <v>350</v>
      </c>
      <c r="M206" t="s">
        <v>1229</v>
      </c>
      <c r="N206" t="s">
        <v>1229</v>
      </c>
    </row>
    <row r="207" spans="1:14">
      <c r="A207" t="s">
        <v>1230</v>
      </c>
      <c r="B207" t="s">
        <v>939</v>
      </c>
      <c r="C207" t="s">
        <v>940</v>
      </c>
      <c r="D207" t="s">
        <v>865</v>
      </c>
      <c r="E207" t="s">
        <v>335</v>
      </c>
      <c r="F207" t="s">
        <v>865</v>
      </c>
      <c r="G207" t="s">
        <v>865</v>
      </c>
      <c r="H207" t="s">
        <v>316</v>
      </c>
      <c r="I207" t="s">
        <v>317</v>
      </c>
      <c r="J207" t="s">
        <v>318</v>
      </c>
      <c r="K207" t="s">
        <v>122</v>
      </c>
      <c r="L207" t="s">
        <v>350</v>
      </c>
      <c r="M207" t="s">
        <v>1229</v>
      </c>
      <c r="N207" t="s">
        <v>1229</v>
      </c>
    </row>
    <row r="208" spans="1:14">
      <c r="A208" t="s">
        <v>1231</v>
      </c>
      <c r="B208" t="s">
        <v>690</v>
      </c>
      <c r="C208" t="s">
        <v>691</v>
      </c>
      <c r="D208" t="s">
        <v>1232</v>
      </c>
      <c r="E208" t="s">
        <v>364</v>
      </c>
      <c r="F208" t="s">
        <v>1233</v>
      </c>
      <c r="G208" t="s">
        <v>1233</v>
      </c>
      <c r="H208" t="s">
        <v>316</v>
      </c>
      <c r="I208" t="s">
        <v>317</v>
      </c>
      <c r="J208" t="s">
        <v>376</v>
      </c>
      <c r="K208" t="s">
        <v>122</v>
      </c>
      <c r="L208" t="s">
        <v>319</v>
      </c>
      <c r="M208" t="s">
        <v>1234</v>
      </c>
      <c r="N208" t="s">
        <v>1234</v>
      </c>
    </row>
    <row r="209" spans="1:14">
      <c r="A209" t="s">
        <v>1235</v>
      </c>
      <c r="B209" t="s">
        <v>939</v>
      </c>
      <c r="C209" t="s">
        <v>940</v>
      </c>
      <c r="D209" t="s">
        <v>334</v>
      </c>
      <c r="E209" t="s">
        <v>335</v>
      </c>
      <c r="F209" t="s">
        <v>1236</v>
      </c>
      <c r="G209" t="s">
        <v>1236</v>
      </c>
      <c r="H209" t="s">
        <v>316</v>
      </c>
      <c r="I209" t="s">
        <v>531</v>
      </c>
      <c r="J209" t="s">
        <v>318</v>
      </c>
      <c r="K209" t="s">
        <v>122</v>
      </c>
      <c r="L209" t="s">
        <v>358</v>
      </c>
      <c r="M209" t="s">
        <v>1237</v>
      </c>
      <c r="N209" t="s">
        <v>1237</v>
      </c>
    </row>
    <row r="210" spans="1:14">
      <c r="A210" t="s">
        <v>1238</v>
      </c>
      <c r="B210" t="s">
        <v>469</v>
      </c>
      <c r="C210" t="s">
        <v>470</v>
      </c>
      <c r="D210" t="s">
        <v>1239</v>
      </c>
      <c r="E210" t="s">
        <v>325</v>
      </c>
      <c r="F210" t="s">
        <v>1239</v>
      </c>
      <c r="G210" t="s">
        <v>1239</v>
      </c>
      <c r="H210" t="s">
        <v>306</v>
      </c>
      <c r="I210" t="s">
        <v>307</v>
      </c>
      <c r="J210" t="s">
        <v>328</v>
      </c>
      <c r="K210" t="s">
        <v>122</v>
      </c>
      <c r="L210" t="s">
        <v>329</v>
      </c>
      <c r="M210" t="s">
        <v>1240</v>
      </c>
      <c r="N210" t="s">
        <v>1240</v>
      </c>
    </row>
    <row r="211" spans="1:14">
      <c r="A211" t="s">
        <v>1241</v>
      </c>
      <c r="B211" t="s">
        <v>556</v>
      </c>
      <c r="C211" t="s">
        <v>557</v>
      </c>
      <c r="D211" t="s">
        <v>1242</v>
      </c>
      <c r="E211" t="s">
        <v>774</v>
      </c>
      <c r="F211" t="s">
        <v>1242</v>
      </c>
      <c r="G211" t="s">
        <v>1242</v>
      </c>
      <c r="H211" t="s">
        <v>316</v>
      </c>
      <c r="I211" t="s">
        <v>317</v>
      </c>
      <c r="J211" t="s">
        <v>357</v>
      </c>
      <c r="K211" t="s">
        <v>486</v>
      </c>
      <c r="L211" t="s">
        <v>487</v>
      </c>
      <c r="M211" t="s">
        <v>1243</v>
      </c>
      <c r="N211" t="s">
        <v>1243</v>
      </c>
    </row>
    <row r="212" spans="1:14">
      <c r="A212" t="s">
        <v>1244</v>
      </c>
      <c r="B212" t="s">
        <v>1245</v>
      </c>
      <c r="C212" t="s">
        <v>1246</v>
      </c>
      <c r="D212" t="s">
        <v>1247</v>
      </c>
      <c r="E212" t="s">
        <v>335</v>
      </c>
      <c r="F212" t="s">
        <v>1248</v>
      </c>
      <c r="G212" t="s">
        <v>1248</v>
      </c>
      <c r="H212" t="s">
        <v>316</v>
      </c>
      <c r="I212" t="s">
        <v>317</v>
      </c>
      <c r="J212" t="s">
        <v>318</v>
      </c>
      <c r="K212" t="s">
        <v>122</v>
      </c>
      <c r="L212" t="s">
        <v>605</v>
      </c>
      <c r="M212" t="s">
        <v>1244</v>
      </c>
      <c r="N212" t="s">
        <v>1244</v>
      </c>
    </row>
    <row r="213" spans="1:14">
      <c r="A213" t="s">
        <v>1249</v>
      </c>
      <c r="B213" t="s">
        <v>1250</v>
      </c>
      <c r="C213" t="s">
        <v>1251</v>
      </c>
      <c r="D213" t="s">
        <v>1252</v>
      </c>
      <c r="E213" t="s">
        <v>325</v>
      </c>
      <c r="F213" t="s">
        <v>1252</v>
      </c>
      <c r="G213" t="s">
        <v>1252</v>
      </c>
      <c r="H213" t="s">
        <v>316</v>
      </c>
      <c r="I213" t="s">
        <v>317</v>
      </c>
      <c r="J213" t="s">
        <v>328</v>
      </c>
      <c r="K213" t="s">
        <v>122</v>
      </c>
      <c r="L213" t="s">
        <v>329</v>
      </c>
      <c r="M213" t="s">
        <v>1253</v>
      </c>
      <c r="N213" t="s">
        <v>1253</v>
      </c>
    </row>
    <row r="214" spans="1:14">
      <c r="A214" t="s">
        <v>267</v>
      </c>
      <c r="B214" t="s">
        <v>1254</v>
      </c>
      <c r="C214" t="s">
        <v>1255</v>
      </c>
      <c r="D214" t="s">
        <v>1256</v>
      </c>
      <c r="E214" t="s">
        <v>335</v>
      </c>
      <c r="F214" t="s">
        <v>1256</v>
      </c>
      <c r="G214" t="s">
        <v>1256</v>
      </c>
      <c r="H214" t="s">
        <v>306</v>
      </c>
      <c r="I214" t="s">
        <v>307</v>
      </c>
      <c r="J214" t="s">
        <v>210</v>
      </c>
      <c r="K214" t="s">
        <v>122</v>
      </c>
      <c r="L214" t="s">
        <v>344</v>
      </c>
      <c r="M214" t="s">
        <v>1257</v>
      </c>
      <c r="N214" t="s">
        <v>1257</v>
      </c>
    </row>
    <row r="215" spans="1:14">
      <c r="A215" t="s">
        <v>269</v>
      </c>
      <c r="B215" t="s">
        <v>1258</v>
      </c>
      <c r="C215" t="s">
        <v>1259</v>
      </c>
      <c r="D215" t="s">
        <v>284</v>
      </c>
      <c r="E215" t="s">
        <v>343</v>
      </c>
      <c r="F215" t="s">
        <v>284</v>
      </c>
      <c r="G215" t="s">
        <v>284</v>
      </c>
      <c r="H215" t="s">
        <v>306</v>
      </c>
      <c r="I215" t="s">
        <v>307</v>
      </c>
      <c r="J215" t="s">
        <v>210</v>
      </c>
      <c r="K215" t="s">
        <v>122</v>
      </c>
      <c r="L215" t="s">
        <v>344</v>
      </c>
      <c r="M215" t="s">
        <v>981</v>
      </c>
      <c r="N215" t="s">
        <v>981</v>
      </c>
    </row>
    <row r="216" spans="1:14">
      <c r="A216" t="s">
        <v>1260</v>
      </c>
      <c r="B216" t="s">
        <v>764</v>
      </c>
      <c r="C216" t="s">
        <v>765</v>
      </c>
      <c r="D216" t="s">
        <v>1261</v>
      </c>
      <c r="E216" t="s">
        <v>325</v>
      </c>
      <c r="F216" t="s">
        <v>1262</v>
      </c>
      <c r="G216" t="s">
        <v>1262</v>
      </c>
      <c r="H216" t="s">
        <v>306</v>
      </c>
      <c r="I216" t="s">
        <v>307</v>
      </c>
      <c r="J216" t="s">
        <v>210</v>
      </c>
      <c r="K216" t="s">
        <v>122</v>
      </c>
      <c r="L216" t="s">
        <v>381</v>
      </c>
      <c r="M216" t="s">
        <v>1263</v>
      </c>
      <c r="N216" t="s">
        <v>1263</v>
      </c>
    </row>
    <row r="217" spans="1:14">
      <c r="A217" t="s">
        <v>1264</v>
      </c>
      <c r="B217" t="s">
        <v>1265</v>
      </c>
      <c r="C217" t="s">
        <v>1266</v>
      </c>
      <c r="D217" t="s">
        <v>1267</v>
      </c>
      <c r="E217" t="s">
        <v>325</v>
      </c>
      <c r="F217" t="s">
        <v>1267</v>
      </c>
      <c r="G217" t="s">
        <v>1267</v>
      </c>
      <c r="H217" t="s">
        <v>306</v>
      </c>
      <c r="I217" t="s">
        <v>612</v>
      </c>
      <c r="J217" t="s">
        <v>210</v>
      </c>
      <c r="K217" t="s">
        <v>122</v>
      </c>
      <c r="L217" t="s">
        <v>344</v>
      </c>
      <c r="M217" t="s">
        <v>1268</v>
      </c>
      <c r="N217" t="s">
        <v>1268</v>
      </c>
    </row>
    <row r="218" spans="1:14">
      <c r="A218" t="s">
        <v>1269</v>
      </c>
      <c r="B218" t="s">
        <v>1047</v>
      </c>
      <c r="C218" t="s">
        <v>1048</v>
      </c>
      <c r="D218" t="s">
        <v>1270</v>
      </c>
      <c r="E218" t="s">
        <v>335</v>
      </c>
      <c r="F218" t="s">
        <v>1270</v>
      </c>
      <c r="G218" t="s">
        <v>1270</v>
      </c>
      <c r="H218" t="s">
        <v>306</v>
      </c>
      <c r="I218" t="s">
        <v>307</v>
      </c>
      <c r="J218" t="s">
        <v>210</v>
      </c>
      <c r="K218" t="s">
        <v>122</v>
      </c>
      <c r="L218" t="s">
        <v>350</v>
      </c>
      <c r="M218" t="s">
        <v>1271</v>
      </c>
      <c r="N218" t="s">
        <v>1271</v>
      </c>
    </row>
    <row r="219" spans="1:14">
      <c r="A219" t="s">
        <v>1272</v>
      </c>
      <c r="B219" t="s">
        <v>1273</v>
      </c>
      <c r="C219" t="s">
        <v>1274</v>
      </c>
      <c r="D219" t="s">
        <v>1275</v>
      </c>
      <c r="E219" t="s">
        <v>343</v>
      </c>
      <c r="F219" t="s">
        <v>1275</v>
      </c>
      <c r="G219" t="s">
        <v>1275</v>
      </c>
      <c r="H219" t="s">
        <v>306</v>
      </c>
      <c r="I219" t="s">
        <v>307</v>
      </c>
      <c r="J219" t="s">
        <v>210</v>
      </c>
      <c r="K219" t="s">
        <v>122</v>
      </c>
      <c r="L219" t="s">
        <v>344</v>
      </c>
      <c r="M219" t="s">
        <v>1276</v>
      </c>
      <c r="N219" t="s">
        <v>1276</v>
      </c>
    </row>
    <row r="220" spans="1:14">
      <c r="A220" t="s">
        <v>1277</v>
      </c>
      <c r="B220" t="s">
        <v>1278</v>
      </c>
      <c r="C220" t="s">
        <v>1279</v>
      </c>
      <c r="D220" t="s">
        <v>1280</v>
      </c>
      <c r="E220" t="s">
        <v>325</v>
      </c>
      <c r="F220" t="s">
        <v>1280</v>
      </c>
      <c r="G220" t="s">
        <v>1280</v>
      </c>
      <c r="H220" t="s">
        <v>306</v>
      </c>
      <c r="I220" t="s">
        <v>307</v>
      </c>
      <c r="J220" t="s">
        <v>357</v>
      </c>
      <c r="K220" t="s">
        <v>122</v>
      </c>
      <c r="L220" t="s">
        <v>487</v>
      </c>
      <c r="M220" t="s">
        <v>1281</v>
      </c>
      <c r="N220" t="s">
        <v>1281</v>
      </c>
    </row>
    <row r="221" spans="1:14">
      <c r="A221" t="s">
        <v>1282</v>
      </c>
      <c r="B221" t="s">
        <v>546</v>
      </c>
      <c r="C221" t="s">
        <v>547</v>
      </c>
      <c r="D221" t="s">
        <v>1283</v>
      </c>
      <c r="E221" t="s">
        <v>1284</v>
      </c>
      <c r="F221" t="s">
        <v>1283</v>
      </c>
      <c r="G221" t="s">
        <v>1283</v>
      </c>
      <c r="H221" t="s">
        <v>316</v>
      </c>
      <c r="I221" t="s">
        <v>317</v>
      </c>
      <c r="J221" t="s">
        <v>418</v>
      </c>
      <c r="K221" t="s">
        <v>122</v>
      </c>
      <c r="L221" t="s">
        <v>498</v>
      </c>
      <c r="M221" t="s">
        <v>1285</v>
      </c>
      <c r="N221" t="s">
        <v>1285</v>
      </c>
    </row>
    <row r="222" spans="1:14">
      <c r="A222" t="s">
        <v>1286</v>
      </c>
      <c r="B222" t="s">
        <v>1287</v>
      </c>
      <c r="C222" t="s">
        <v>1288</v>
      </c>
      <c r="D222" t="s">
        <v>1289</v>
      </c>
      <c r="E222" t="s">
        <v>1290</v>
      </c>
      <c r="F222" t="s">
        <v>1289</v>
      </c>
      <c r="G222" t="s">
        <v>1289</v>
      </c>
      <c r="H222" t="s">
        <v>316</v>
      </c>
      <c r="I222" t="s">
        <v>317</v>
      </c>
      <c r="J222" t="s">
        <v>318</v>
      </c>
      <c r="K222" t="s">
        <v>122</v>
      </c>
      <c r="L222" t="s">
        <v>381</v>
      </c>
      <c r="M222" t="s">
        <v>1291</v>
      </c>
      <c r="N222" t="s">
        <v>1291</v>
      </c>
    </row>
    <row r="223" spans="1:14">
      <c r="A223" t="s">
        <v>1292</v>
      </c>
      <c r="B223" t="s">
        <v>1293</v>
      </c>
      <c r="C223" t="s">
        <v>1294</v>
      </c>
      <c r="D223" t="s">
        <v>1289</v>
      </c>
      <c r="E223" t="s">
        <v>364</v>
      </c>
      <c r="F223" t="s">
        <v>1289</v>
      </c>
      <c r="G223" t="s">
        <v>1289</v>
      </c>
      <c r="H223" t="s">
        <v>316</v>
      </c>
      <c r="I223" t="s">
        <v>317</v>
      </c>
      <c r="J223" t="s">
        <v>318</v>
      </c>
      <c r="K223" t="s">
        <v>122</v>
      </c>
      <c r="L223" t="s">
        <v>381</v>
      </c>
      <c r="M223" t="s">
        <v>1291</v>
      </c>
      <c r="N223" t="s">
        <v>1291</v>
      </c>
    </row>
    <row r="224" spans="1:14">
      <c r="A224" t="s">
        <v>1295</v>
      </c>
      <c r="B224" t="s">
        <v>561</v>
      </c>
      <c r="C224" t="s">
        <v>561</v>
      </c>
      <c r="D224" t="s">
        <v>1296</v>
      </c>
      <c r="E224" t="s">
        <v>1297</v>
      </c>
      <c r="F224" t="s">
        <v>1031</v>
      </c>
      <c r="G224" t="s">
        <v>1031</v>
      </c>
      <c r="H224" t="s">
        <v>316</v>
      </c>
      <c r="I224" t="s">
        <v>317</v>
      </c>
      <c r="J224" t="s">
        <v>318</v>
      </c>
      <c r="K224" t="s">
        <v>122</v>
      </c>
      <c r="L224" t="s">
        <v>381</v>
      </c>
      <c r="M224" t="s">
        <v>1298</v>
      </c>
      <c r="N224" t="s">
        <v>1298</v>
      </c>
    </row>
    <row r="225" spans="1:14">
      <c r="A225" t="s">
        <v>1299</v>
      </c>
      <c r="B225" t="s">
        <v>1300</v>
      </c>
      <c r="C225" t="s">
        <v>1301</v>
      </c>
      <c r="D225" t="s">
        <v>1189</v>
      </c>
      <c r="E225" t="s">
        <v>889</v>
      </c>
      <c r="F225" t="s">
        <v>1302</v>
      </c>
      <c r="G225" t="s">
        <v>1302</v>
      </c>
      <c r="H225" t="s">
        <v>316</v>
      </c>
      <c r="I225" t="s">
        <v>317</v>
      </c>
      <c r="J225" t="s">
        <v>376</v>
      </c>
      <c r="K225" t="s">
        <v>122</v>
      </c>
      <c r="L225" t="s">
        <v>1303</v>
      </c>
      <c r="M225" t="s">
        <v>1304</v>
      </c>
      <c r="N225" t="s">
        <v>1304</v>
      </c>
    </row>
    <row r="226" spans="1:14">
      <c r="A226" t="s">
        <v>1305</v>
      </c>
      <c r="B226" t="s">
        <v>1306</v>
      </c>
      <c r="C226" t="s">
        <v>1307</v>
      </c>
      <c r="D226" t="s">
        <v>1308</v>
      </c>
      <c r="E226" t="s">
        <v>335</v>
      </c>
      <c r="F226" t="s">
        <v>1309</v>
      </c>
      <c r="G226" t="s">
        <v>1309</v>
      </c>
      <c r="H226" t="s">
        <v>316</v>
      </c>
      <c r="I226" t="s">
        <v>317</v>
      </c>
      <c r="J226" t="s">
        <v>424</v>
      </c>
      <c r="K226" t="s">
        <v>122</v>
      </c>
      <c r="L226" t="s">
        <v>386</v>
      </c>
      <c r="M226" t="s">
        <v>1310</v>
      </c>
      <c r="N226" t="s">
        <v>1310</v>
      </c>
    </row>
    <row r="227" spans="1:14">
      <c r="A227" t="s">
        <v>1311</v>
      </c>
      <c r="B227" t="s">
        <v>1312</v>
      </c>
      <c r="C227" t="s">
        <v>1313</v>
      </c>
      <c r="D227" t="s">
        <v>1184</v>
      </c>
      <c r="E227" t="s">
        <v>335</v>
      </c>
      <c r="F227" t="s">
        <v>1184</v>
      </c>
      <c r="G227" t="s">
        <v>1184</v>
      </c>
      <c r="H227" t="s">
        <v>326</v>
      </c>
      <c r="I227" t="s">
        <v>327</v>
      </c>
      <c r="J227" t="s">
        <v>318</v>
      </c>
      <c r="K227" t="s">
        <v>122</v>
      </c>
      <c r="L227" t="s">
        <v>381</v>
      </c>
      <c r="M227" t="s">
        <v>1314</v>
      </c>
      <c r="N227" t="s">
        <v>1314</v>
      </c>
    </row>
    <row r="228" spans="1:14">
      <c r="A228" t="s">
        <v>1315</v>
      </c>
      <c r="B228" t="s">
        <v>1316</v>
      </c>
      <c r="C228" t="s">
        <v>1317</v>
      </c>
      <c r="D228" t="s">
        <v>1318</v>
      </c>
      <c r="E228" t="s">
        <v>305</v>
      </c>
      <c r="F228" t="s">
        <v>1318</v>
      </c>
      <c r="G228" t="s">
        <v>1318</v>
      </c>
      <c r="H228" t="s">
        <v>316</v>
      </c>
      <c r="I228" t="s">
        <v>317</v>
      </c>
      <c r="J228" t="s">
        <v>397</v>
      </c>
      <c r="K228" t="s">
        <v>122</v>
      </c>
      <c r="L228" t="s">
        <v>344</v>
      </c>
      <c r="M228" t="s">
        <v>1319</v>
      </c>
      <c r="N228" t="s">
        <v>1319</v>
      </c>
    </row>
    <row r="229" spans="1:14">
      <c r="A229" t="s">
        <v>1320</v>
      </c>
      <c r="B229" t="s">
        <v>722</v>
      </c>
      <c r="C229" t="s">
        <v>723</v>
      </c>
      <c r="D229" t="s">
        <v>714</v>
      </c>
      <c r="E229" t="s">
        <v>335</v>
      </c>
      <c r="F229" t="s">
        <v>714</v>
      </c>
      <c r="G229" t="s">
        <v>714</v>
      </c>
      <c r="H229" t="s">
        <v>316</v>
      </c>
      <c r="I229" t="s">
        <v>327</v>
      </c>
      <c r="J229" t="s">
        <v>318</v>
      </c>
      <c r="K229" t="s">
        <v>122</v>
      </c>
      <c r="L229" t="s">
        <v>368</v>
      </c>
      <c r="M229" t="s">
        <v>1321</v>
      </c>
      <c r="N229" t="s">
        <v>1321</v>
      </c>
    </row>
    <row r="230" spans="1:14">
      <c r="A230" t="s">
        <v>1322</v>
      </c>
      <c r="B230" t="s">
        <v>469</v>
      </c>
      <c r="C230" t="s">
        <v>470</v>
      </c>
      <c r="D230" t="s">
        <v>1323</v>
      </c>
      <c r="E230" t="s">
        <v>325</v>
      </c>
      <c r="F230" t="s">
        <v>1323</v>
      </c>
      <c r="G230" t="s">
        <v>1323</v>
      </c>
      <c r="H230" t="s">
        <v>306</v>
      </c>
      <c r="I230" t="s">
        <v>307</v>
      </c>
      <c r="J230" t="s">
        <v>357</v>
      </c>
      <c r="K230" t="s">
        <v>122</v>
      </c>
      <c r="L230" t="s">
        <v>386</v>
      </c>
      <c r="M230" t="s">
        <v>1324</v>
      </c>
      <c r="N230" t="s">
        <v>1324</v>
      </c>
    </row>
    <row r="231" spans="1:14">
      <c r="A231" t="s">
        <v>1325</v>
      </c>
      <c r="B231" t="s">
        <v>1326</v>
      </c>
      <c r="C231" t="s">
        <v>1327</v>
      </c>
      <c r="D231" t="s">
        <v>1270</v>
      </c>
      <c r="E231" t="s">
        <v>305</v>
      </c>
      <c r="F231" t="s">
        <v>1328</v>
      </c>
      <c r="G231" t="s">
        <v>1328</v>
      </c>
      <c r="H231" t="s">
        <v>316</v>
      </c>
      <c r="I231" t="s">
        <v>317</v>
      </c>
      <c r="J231" t="s">
        <v>424</v>
      </c>
      <c r="K231" t="s">
        <v>122</v>
      </c>
      <c r="L231" t="s">
        <v>451</v>
      </c>
      <c r="M231" t="s">
        <v>1329</v>
      </c>
      <c r="N231" t="s">
        <v>1329</v>
      </c>
    </row>
    <row r="232" spans="1:14">
      <c r="A232" t="s">
        <v>1330</v>
      </c>
      <c r="B232" t="s">
        <v>1331</v>
      </c>
      <c r="C232" t="s">
        <v>1332</v>
      </c>
      <c r="D232" t="s">
        <v>1323</v>
      </c>
      <c r="E232" t="s">
        <v>325</v>
      </c>
      <c r="F232" t="s">
        <v>1323</v>
      </c>
      <c r="G232" t="s">
        <v>1323</v>
      </c>
      <c r="H232" t="s">
        <v>306</v>
      </c>
      <c r="I232" t="s">
        <v>307</v>
      </c>
      <c r="J232" t="s">
        <v>357</v>
      </c>
      <c r="K232" t="s">
        <v>122</v>
      </c>
      <c r="L232" t="s">
        <v>329</v>
      </c>
      <c r="M232" t="s">
        <v>1333</v>
      </c>
      <c r="N232" t="s">
        <v>1333</v>
      </c>
    </row>
    <row r="233" spans="1:14">
      <c r="A233" t="s">
        <v>1334</v>
      </c>
      <c r="B233" t="s">
        <v>1335</v>
      </c>
      <c r="C233" t="s">
        <v>1336</v>
      </c>
      <c r="D233" t="s">
        <v>1337</v>
      </c>
      <c r="E233" t="s">
        <v>343</v>
      </c>
      <c r="F233" t="s">
        <v>1337</v>
      </c>
      <c r="G233" t="s">
        <v>1337</v>
      </c>
      <c r="H233" t="s">
        <v>316</v>
      </c>
      <c r="I233" t="s">
        <v>317</v>
      </c>
      <c r="J233" t="s">
        <v>397</v>
      </c>
      <c r="K233" t="s">
        <v>122</v>
      </c>
      <c r="L233" t="s">
        <v>358</v>
      </c>
      <c r="M233" t="s">
        <v>1338</v>
      </c>
      <c r="N233" t="s">
        <v>1338</v>
      </c>
    </row>
    <row r="234" spans="1:14">
      <c r="A234" t="s">
        <v>1339</v>
      </c>
      <c r="B234" t="s">
        <v>1340</v>
      </c>
      <c r="C234" t="s">
        <v>1341</v>
      </c>
      <c r="D234" t="s">
        <v>1342</v>
      </c>
      <c r="E234" t="s">
        <v>305</v>
      </c>
      <c r="F234" t="s">
        <v>1343</v>
      </c>
      <c r="G234" t="s">
        <v>1343</v>
      </c>
      <c r="H234" t="s">
        <v>316</v>
      </c>
      <c r="I234" t="s">
        <v>317</v>
      </c>
      <c r="J234" t="s">
        <v>318</v>
      </c>
      <c r="K234" t="s">
        <v>122</v>
      </c>
      <c r="L234" t="s">
        <v>337</v>
      </c>
      <c r="M234" t="s">
        <v>1344</v>
      </c>
      <c r="N234" t="s">
        <v>1344</v>
      </c>
    </row>
    <row r="235" spans="1:14">
      <c r="A235" t="s">
        <v>1345</v>
      </c>
      <c r="B235" t="s">
        <v>602</v>
      </c>
      <c r="C235" t="s">
        <v>603</v>
      </c>
      <c r="D235" t="s">
        <v>1346</v>
      </c>
      <c r="E235" t="s">
        <v>325</v>
      </c>
      <c r="F235" t="s">
        <v>1346</v>
      </c>
      <c r="G235" t="s">
        <v>1346</v>
      </c>
      <c r="H235" t="s">
        <v>316</v>
      </c>
      <c r="I235" t="s">
        <v>531</v>
      </c>
      <c r="J235" t="s">
        <v>803</v>
      </c>
      <c r="K235" t="s">
        <v>122</v>
      </c>
      <c r="L235" t="s">
        <v>386</v>
      </c>
      <c r="M235" t="s">
        <v>1347</v>
      </c>
      <c r="N235" t="s">
        <v>1347</v>
      </c>
    </row>
    <row r="236" spans="1:14">
      <c r="A236" t="s">
        <v>1348</v>
      </c>
      <c r="B236" t="s">
        <v>434</v>
      </c>
      <c r="C236" t="s">
        <v>435</v>
      </c>
      <c r="D236" t="s">
        <v>1349</v>
      </c>
      <c r="E236" t="s">
        <v>335</v>
      </c>
      <c r="F236" t="s">
        <v>1349</v>
      </c>
      <c r="G236" t="s">
        <v>1349</v>
      </c>
      <c r="H236" t="s">
        <v>316</v>
      </c>
      <c r="I236" t="s">
        <v>317</v>
      </c>
      <c r="J236" t="s">
        <v>308</v>
      </c>
      <c r="K236" t="s">
        <v>122</v>
      </c>
      <c r="L236" t="s">
        <v>350</v>
      </c>
      <c r="M236" t="s">
        <v>1350</v>
      </c>
      <c r="N236" t="s">
        <v>1350</v>
      </c>
    </row>
    <row r="237" spans="1:14">
      <c r="A237" t="s">
        <v>1351</v>
      </c>
      <c r="B237" t="s">
        <v>1352</v>
      </c>
      <c r="C237" t="s">
        <v>1353</v>
      </c>
      <c r="D237" t="s">
        <v>898</v>
      </c>
      <c r="E237" t="s">
        <v>325</v>
      </c>
      <c r="F237" t="s">
        <v>898</v>
      </c>
      <c r="G237" t="s">
        <v>898</v>
      </c>
      <c r="H237" t="s">
        <v>306</v>
      </c>
      <c r="I237" t="s">
        <v>307</v>
      </c>
      <c r="J237" t="s">
        <v>397</v>
      </c>
      <c r="K237" t="s">
        <v>122</v>
      </c>
      <c r="L237" t="s">
        <v>822</v>
      </c>
      <c r="M237" t="s">
        <v>1354</v>
      </c>
      <c r="N237" t="s">
        <v>1354</v>
      </c>
    </row>
    <row r="238" spans="1:14">
      <c r="A238" t="s">
        <v>1355</v>
      </c>
      <c r="B238" t="s">
        <v>378</v>
      </c>
      <c r="C238" t="s">
        <v>379</v>
      </c>
      <c r="D238" t="s">
        <v>1356</v>
      </c>
      <c r="E238" t="s">
        <v>1357</v>
      </c>
      <c r="F238" t="s">
        <v>1358</v>
      </c>
      <c r="G238" t="s">
        <v>1358</v>
      </c>
      <c r="H238" t="s">
        <v>316</v>
      </c>
      <c r="I238" t="s">
        <v>317</v>
      </c>
      <c r="J238" t="s">
        <v>376</v>
      </c>
      <c r="K238" t="s">
        <v>122</v>
      </c>
      <c r="L238" t="s">
        <v>1303</v>
      </c>
      <c r="M238" t="s">
        <v>1359</v>
      </c>
      <c r="N238" t="s">
        <v>1359</v>
      </c>
    </row>
    <row r="239" spans="1:14">
      <c r="A239" t="s">
        <v>1360</v>
      </c>
      <c r="B239" t="s">
        <v>1361</v>
      </c>
      <c r="C239" t="s">
        <v>1362</v>
      </c>
      <c r="D239" t="s">
        <v>1363</v>
      </c>
      <c r="E239" t="s">
        <v>305</v>
      </c>
      <c r="F239" t="s">
        <v>1364</v>
      </c>
      <c r="G239" t="s">
        <v>1364</v>
      </c>
      <c r="H239" t="s">
        <v>316</v>
      </c>
      <c r="I239" t="s">
        <v>317</v>
      </c>
      <c r="J239" t="s">
        <v>376</v>
      </c>
      <c r="K239" t="s">
        <v>122</v>
      </c>
      <c r="L239" t="s">
        <v>337</v>
      </c>
      <c r="M239" t="s">
        <v>1365</v>
      </c>
      <c r="N239" t="s">
        <v>1365</v>
      </c>
    </row>
    <row r="240" spans="1:14">
      <c r="A240" t="s">
        <v>1366</v>
      </c>
      <c r="B240" t="s">
        <v>759</v>
      </c>
      <c r="C240" t="s">
        <v>760</v>
      </c>
      <c r="D240" t="s">
        <v>1367</v>
      </c>
      <c r="E240" t="s">
        <v>325</v>
      </c>
      <c r="F240" t="s">
        <v>1368</v>
      </c>
      <c r="G240" t="s">
        <v>1368</v>
      </c>
      <c r="H240" t="s">
        <v>431</v>
      </c>
      <c r="I240" t="s">
        <v>327</v>
      </c>
      <c r="J240" t="s">
        <v>328</v>
      </c>
      <c r="K240" t="s">
        <v>122</v>
      </c>
      <c r="L240" t="s">
        <v>368</v>
      </c>
      <c r="M240" t="s">
        <v>1369</v>
      </c>
      <c r="N240" t="s">
        <v>1369</v>
      </c>
    </row>
    <row r="241" spans="1:14">
      <c r="A241" t="s">
        <v>1370</v>
      </c>
      <c r="B241" t="s">
        <v>947</v>
      </c>
      <c r="C241" t="s">
        <v>1371</v>
      </c>
      <c r="D241" t="s">
        <v>1372</v>
      </c>
      <c r="E241" t="s">
        <v>325</v>
      </c>
      <c r="F241" t="s">
        <v>1372</v>
      </c>
      <c r="G241" t="s">
        <v>1372</v>
      </c>
      <c r="H241" t="s">
        <v>306</v>
      </c>
      <c r="I241" t="s">
        <v>307</v>
      </c>
      <c r="J241" t="s">
        <v>328</v>
      </c>
      <c r="K241" t="s">
        <v>122</v>
      </c>
      <c r="L241" t="s">
        <v>368</v>
      </c>
      <c r="M241" t="s">
        <v>1373</v>
      </c>
      <c r="N241" t="s">
        <v>1373</v>
      </c>
    </row>
    <row r="242" spans="1:14">
      <c r="A242" t="s">
        <v>1374</v>
      </c>
      <c r="B242" t="s">
        <v>322</v>
      </c>
      <c r="C242" t="s">
        <v>323</v>
      </c>
      <c r="D242" t="s">
        <v>1375</v>
      </c>
      <c r="E242" t="s">
        <v>574</v>
      </c>
      <c r="F242" t="s">
        <v>1375</v>
      </c>
      <c r="G242" t="s">
        <v>1375</v>
      </c>
      <c r="H242" t="s">
        <v>306</v>
      </c>
      <c r="I242" t="s">
        <v>307</v>
      </c>
      <c r="J242" t="s">
        <v>328</v>
      </c>
      <c r="K242" t="s">
        <v>122</v>
      </c>
      <c r="L242" t="s">
        <v>329</v>
      </c>
      <c r="M242" t="s">
        <v>1376</v>
      </c>
      <c r="N242" t="s">
        <v>1376</v>
      </c>
    </row>
    <row r="243" spans="1:14">
      <c r="A243" t="s">
        <v>1377</v>
      </c>
      <c r="B243" t="s">
        <v>1378</v>
      </c>
      <c r="C243" t="s">
        <v>1379</v>
      </c>
      <c r="D243" t="s">
        <v>1380</v>
      </c>
      <c r="E243" t="s">
        <v>364</v>
      </c>
      <c r="F243" t="s">
        <v>1380</v>
      </c>
      <c r="G243" t="s">
        <v>1380</v>
      </c>
      <c r="H243" t="s">
        <v>316</v>
      </c>
      <c r="I243" t="s">
        <v>317</v>
      </c>
      <c r="J243" t="s">
        <v>318</v>
      </c>
      <c r="K243" t="s">
        <v>122</v>
      </c>
      <c r="L243" t="s">
        <v>368</v>
      </c>
      <c r="M243" t="s">
        <v>1381</v>
      </c>
      <c r="N243" t="s">
        <v>1381</v>
      </c>
    </row>
    <row r="244" spans="1:14">
      <c r="A244" t="s">
        <v>1382</v>
      </c>
      <c r="B244" t="s">
        <v>1383</v>
      </c>
      <c r="C244" t="s">
        <v>1384</v>
      </c>
      <c r="D244" t="s">
        <v>1385</v>
      </c>
      <c r="E244" t="s">
        <v>325</v>
      </c>
      <c r="F244" t="s">
        <v>1385</v>
      </c>
      <c r="G244" t="s">
        <v>1385</v>
      </c>
      <c r="H244" t="s">
        <v>306</v>
      </c>
      <c r="I244" t="s">
        <v>472</v>
      </c>
      <c r="J244" t="s">
        <v>308</v>
      </c>
      <c r="K244" t="s">
        <v>122</v>
      </c>
      <c r="L244" t="s">
        <v>498</v>
      </c>
      <c r="M244" t="s">
        <v>1386</v>
      </c>
      <c r="N244" t="s">
        <v>1386</v>
      </c>
    </row>
    <row r="245" spans="1:14">
      <c r="A245" t="s">
        <v>1387</v>
      </c>
      <c r="B245" t="s">
        <v>1388</v>
      </c>
      <c r="C245" t="s">
        <v>1389</v>
      </c>
      <c r="D245" t="s">
        <v>1075</v>
      </c>
      <c r="E245" t="s">
        <v>335</v>
      </c>
      <c r="F245" t="s">
        <v>1075</v>
      </c>
      <c r="G245" t="s">
        <v>1075</v>
      </c>
      <c r="H245" t="s">
        <v>316</v>
      </c>
      <c r="I245" t="s">
        <v>317</v>
      </c>
      <c r="J245" t="s">
        <v>376</v>
      </c>
      <c r="K245" t="s">
        <v>122</v>
      </c>
      <c r="L245" t="s">
        <v>675</v>
      </c>
      <c r="M245" t="s">
        <v>1390</v>
      </c>
      <c r="N245" t="s">
        <v>1390</v>
      </c>
    </row>
    <row r="246" spans="1:14">
      <c r="A246" t="s">
        <v>1391</v>
      </c>
      <c r="B246" t="s">
        <v>469</v>
      </c>
      <c r="C246" t="s">
        <v>470</v>
      </c>
      <c r="D246" t="s">
        <v>1392</v>
      </c>
      <c r="E246" t="s">
        <v>1393</v>
      </c>
      <c r="F246" t="s">
        <v>1394</v>
      </c>
      <c r="G246" t="s">
        <v>1394</v>
      </c>
      <c r="H246" t="s">
        <v>316</v>
      </c>
      <c r="I246" t="s">
        <v>317</v>
      </c>
      <c r="J246" t="s">
        <v>318</v>
      </c>
      <c r="K246" t="s">
        <v>122</v>
      </c>
      <c r="L246" t="s">
        <v>350</v>
      </c>
      <c r="M246" t="s">
        <v>1395</v>
      </c>
      <c r="N246" t="s">
        <v>1395</v>
      </c>
    </row>
    <row r="247" spans="1:14">
      <c r="A247" t="s">
        <v>1396</v>
      </c>
      <c r="B247" t="s">
        <v>1397</v>
      </c>
      <c r="C247" t="s">
        <v>1398</v>
      </c>
      <c r="D247" t="s">
        <v>1399</v>
      </c>
      <c r="E247" t="s">
        <v>1393</v>
      </c>
      <c r="F247" t="s">
        <v>1399</v>
      </c>
      <c r="G247" t="s">
        <v>1399</v>
      </c>
      <c r="H247" t="s">
        <v>316</v>
      </c>
      <c r="I247" t="s">
        <v>317</v>
      </c>
      <c r="J247" t="s">
        <v>318</v>
      </c>
      <c r="K247" t="s">
        <v>122</v>
      </c>
      <c r="L247" t="s">
        <v>350</v>
      </c>
      <c r="M247" t="s">
        <v>1391</v>
      </c>
      <c r="N247" t="s">
        <v>1391</v>
      </c>
    </row>
    <row r="248" spans="1:14">
      <c r="A248" t="s">
        <v>1400</v>
      </c>
      <c r="B248" t="s">
        <v>1401</v>
      </c>
      <c r="C248" t="s">
        <v>1402</v>
      </c>
      <c r="D248" t="s">
        <v>1080</v>
      </c>
      <c r="E248" t="s">
        <v>364</v>
      </c>
      <c r="F248" t="s">
        <v>446</v>
      </c>
      <c r="G248" t="s">
        <v>446</v>
      </c>
      <c r="H248" t="s">
        <v>316</v>
      </c>
      <c r="I248" t="s">
        <v>317</v>
      </c>
      <c r="J248" t="s">
        <v>318</v>
      </c>
      <c r="K248" t="s">
        <v>122</v>
      </c>
      <c r="L248" t="s">
        <v>337</v>
      </c>
      <c r="M248" t="s">
        <v>1403</v>
      </c>
      <c r="N248" t="s">
        <v>1403</v>
      </c>
    </row>
    <row r="249" spans="1:14">
      <c r="A249" t="s">
        <v>1404</v>
      </c>
      <c r="B249" t="s">
        <v>434</v>
      </c>
      <c r="C249" t="s">
        <v>435</v>
      </c>
      <c r="D249" t="s">
        <v>1405</v>
      </c>
      <c r="E249" t="s">
        <v>335</v>
      </c>
      <c r="F249" t="s">
        <v>1405</v>
      </c>
      <c r="G249" t="s">
        <v>1405</v>
      </c>
      <c r="H249" t="s">
        <v>316</v>
      </c>
      <c r="I249" t="s">
        <v>317</v>
      </c>
      <c r="J249" t="s">
        <v>318</v>
      </c>
      <c r="K249" t="s">
        <v>122</v>
      </c>
      <c r="L249" t="s">
        <v>350</v>
      </c>
      <c r="M249" t="s">
        <v>1406</v>
      </c>
      <c r="N249" t="s">
        <v>1406</v>
      </c>
    </row>
    <row r="250" spans="1:14">
      <c r="A250" t="s">
        <v>1407</v>
      </c>
      <c r="B250" t="s">
        <v>1408</v>
      </c>
      <c r="C250" t="s">
        <v>1409</v>
      </c>
      <c r="D250" t="s">
        <v>1410</v>
      </c>
      <c r="E250" t="s">
        <v>325</v>
      </c>
      <c r="F250" t="s">
        <v>1410</v>
      </c>
      <c r="G250" t="s">
        <v>1410</v>
      </c>
      <c r="H250" t="s">
        <v>316</v>
      </c>
      <c r="I250" t="s">
        <v>317</v>
      </c>
      <c r="J250" t="s">
        <v>308</v>
      </c>
      <c r="K250" t="s">
        <v>122</v>
      </c>
      <c r="L250" t="s">
        <v>381</v>
      </c>
      <c r="M250" t="s">
        <v>1411</v>
      </c>
      <c r="N250" t="s">
        <v>1411</v>
      </c>
    </row>
    <row r="251" spans="1:14">
      <c r="A251" t="s">
        <v>1412</v>
      </c>
      <c r="B251" t="s">
        <v>322</v>
      </c>
      <c r="C251" t="s">
        <v>323</v>
      </c>
      <c r="D251" t="s">
        <v>1413</v>
      </c>
      <c r="E251" t="s">
        <v>315</v>
      </c>
      <c r="F251" t="s">
        <v>1413</v>
      </c>
      <c r="G251" t="s">
        <v>1413</v>
      </c>
      <c r="H251" t="s">
        <v>316</v>
      </c>
      <c r="I251" t="s">
        <v>317</v>
      </c>
      <c r="J251" t="s">
        <v>318</v>
      </c>
      <c r="K251" t="s">
        <v>122</v>
      </c>
      <c r="L251" t="s">
        <v>358</v>
      </c>
      <c r="M251" t="s">
        <v>1414</v>
      </c>
      <c r="N251" t="s">
        <v>1414</v>
      </c>
    </row>
    <row r="252" spans="1:14">
      <c r="A252" t="s">
        <v>1415</v>
      </c>
      <c r="B252" t="s">
        <v>1416</v>
      </c>
      <c r="C252" t="s">
        <v>1417</v>
      </c>
      <c r="D252" t="s">
        <v>1418</v>
      </c>
      <c r="E252" t="s">
        <v>315</v>
      </c>
      <c r="F252" t="s">
        <v>1418</v>
      </c>
      <c r="G252" t="s">
        <v>1418</v>
      </c>
      <c r="H252" t="s">
        <v>316</v>
      </c>
      <c r="I252" t="s">
        <v>317</v>
      </c>
      <c r="J252" t="s">
        <v>318</v>
      </c>
      <c r="K252" t="s">
        <v>122</v>
      </c>
      <c r="L252" t="s">
        <v>319</v>
      </c>
      <c r="M252" t="s">
        <v>1414</v>
      </c>
      <c r="N252" t="s">
        <v>1414</v>
      </c>
    </row>
    <row r="253" spans="1:14">
      <c r="A253" t="s">
        <v>1419</v>
      </c>
      <c r="B253" t="s">
        <v>1420</v>
      </c>
      <c r="C253" t="s">
        <v>1421</v>
      </c>
      <c r="D253" t="s">
        <v>1422</v>
      </c>
      <c r="E253" t="s">
        <v>335</v>
      </c>
      <c r="F253" t="s">
        <v>1422</v>
      </c>
      <c r="G253" t="s">
        <v>1422</v>
      </c>
      <c r="H253" t="s">
        <v>316</v>
      </c>
      <c r="I253" t="s">
        <v>317</v>
      </c>
      <c r="J253" t="s">
        <v>318</v>
      </c>
      <c r="K253" t="s">
        <v>122</v>
      </c>
      <c r="L253" t="s">
        <v>368</v>
      </c>
      <c r="M253" t="s">
        <v>1423</v>
      </c>
      <c r="N253" t="s">
        <v>1423</v>
      </c>
    </row>
    <row r="254" spans="1:14">
      <c r="A254" t="s">
        <v>1424</v>
      </c>
      <c r="B254" t="s">
        <v>469</v>
      </c>
      <c r="C254" t="s">
        <v>470</v>
      </c>
      <c r="D254" t="s">
        <v>1425</v>
      </c>
      <c r="E254" t="s">
        <v>325</v>
      </c>
      <c r="F254" t="s">
        <v>1425</v>
      </c>
      <c r="G254" t="s">
        <v>1425</v>
      </c>
      <c r="H254" t="s">
        <v>316</v>
      </c>
      <c r="I254" t="s">
        <v>531</v>
      </c>
      <c r="J254" t="s">
        <v>328</v>
      </c>
      <c r="K254" t="s">
        <v>122</v>
      </c>
      <c r="L254" t="s">
        <v>329</v>
      </c>
      <c r="M254" t="s">
        <v>1426</v>
      </c>
      <c r="N254" t="s">
        <v>1426</v>
      </c>
    </row>
    <row r="255" spans="1:14">
      <c r="A255" t="s">
        <v>1427</v>
      </c>
      <c r="B255" t="s">
        <v>1428</v>
      </c>
      <c r="C255" t="s">
        <v>1429</v>
      </c>
      <c r="D255" t="s">
        <v>1430</v>
      </c>
      <c r="E255" t="s">
        <v>343</v>
      </c>
      <c r="F255" t="s">
        <v>1430</v>
      </c>
      <c r="G255" t="s">
        <v>1430</v>
      </c>
      <c r="H255" t="s">
        <v>316</v>
      </c>
      <c r="I255" t="s">
        <v>531</v>
      </c>
      <c r="J255" t="s">
        <v>376</v>
      </c>
      <c r="K255" t="s">
        <v>122</v>
      </c>
      <c r="L255" t="s">
        <v>381</v>
      </c>
      <c r="M255" t="s">
        <v>1431</v>
      </c>
      <c r="N255" t="s">
        <v>1431</v>
      </c>
    </row>
    <row r="256" spans="1:14">
      <c r="A256" t="s">
        <v>1432</v>
      </c>
      <c r="B256" t="s">
        <v>1433</v>
      </c>
      <c r="C256" t="s">
        <v>1434</v>
      </c>
      <c r="D256" t="s">
        <v>1430</v>
      </c>
      <c r="E256" t="s">
        <v>430</v>
      </c>
      <c r="F256" t="s">
        <v>1430</v>
      </c>
      <c r="G256" t="s">
        <v>1430</v>
      </c>
      <c r="H256" t="s">
        <v>316</v>
      </c>
      <c r="I256" t="s">
        <v>317</v>
      </c>
      <c r="J256" t="s">
        <v>424</v>
      </c>
      <c r="K256" t="s">
        <v>122</v>
      </c>
      <c r="L256" t="s">
        <v>386</v>
      </c>
      <c r="M256" t="s">
        <v>1435</v>
      </c>
      <c r="N256" t="s">
        <v>1435</v>
      </c>
    </row>
    <row r="257" spans="1:14">
      <c r="A257" t="s">
        <v>1436</v>
      </c>
      <c r="B257" t="s">
        <v>427</v>
      </c>
      <c r="C257" t="s">
        <v>428</v>
      </c>
      <c r="D257" t="s">
        <v>1437</v>
      </c>
      <c r="E257" t="s">
        <v>335</v>
      </c>
      <c r="F257" t="s">
        <v>1437</v>
      </c>
      <c r="G257" t="s">
        <v>1437</v>
      </c>
      <c r="H257" t="s">
        <v>316</v>
      </c>
      <c r="I257" t="s">
        <v>317</v>
      </c>
      <c r="J257" t="s">
        <v>424</v>
      </c>
      <c r="K257" t="s">
        <v>122</v>
      </c>
      <c r="L257" t="s">
        <v>386</v>
      </c>
      <c r="M257" t="s">
        <v>1438</v>
      </c>
      <c r="N257" t="s">
        <v>1438</v>
      </c>
    </row>
    <row r="258" spans="1:14">
      <c r="A258" t="s">
        <v>1439</v>
      </c>
      <c r="B258" t="s">
        <v>1440</v>
      </c>
      <c r="C258" t="s">
        <v>1441</v>
      </c>
      <c r="D258" t="s">
        <v>1442</v>
      </c>
      <c r="E258" t="s">
        <v>325</v>
      </c>
      <c r="F258" t="s">
        <v>1442</v>
      </c>
      <c r="G258" t="s">
        <v>1442</v>
      </c>
      <c r="H258" t="s">
        <v>306</v>
      </c>
      <c r="I258" t="s">
        <v>327</v>
      </c>
      <c r="J258" t="s">
        <v>210</v>
      </c>
      <c r="K258" t="s">
        <v>122</v>
      </c>
      <c r="L258" t="s">
        <v>791</v>
      </c>
      <c r="M258" t="s">
        <v>1443</v>
      </c>
      <c r="N258" t="s">
        <v>1443</v>
      </c>
    </row>
    <row r="259" spans="1:14">
      <c r="A259" t="s">
        <v>1444</v>
      </c>
      <c r="B259" t="s">
        <v>1445</v>
      </c>
      <c r="C259" t="s">
        <v>1446</v>
      </c>
      <c r="D259" t="s">
        <v>1447</v>
      </c>
      <c r="E259" t="s">
        <v>574</v>
      </c>
      <c r="F259" t="s">
        <v>1447</v>
      </c>
      <c r="G259" t="s">
        <v>1447</v>
      </c>
      <c r="H259" t="s">
        <v>316</v>
      </c>
      <c r="I259" t="s">
        <v>531</v>
      </c>
      <c r="J259" t="s">
        <v>376</v>
      </c>
      <c r="K259" t="s">
        <v>122</v>
      </c>
      <c r="L259" t="s">
        <v>309</v>
      </c>
      <c r="M259" t="s">
        <v>1444</v>
      </c>
      <c r="N259" t="s">
        <v>1444</v>
      </c>
    </row>
    <row r="260" spans="1:14">
      <c r="A260" t="s">
        <v>1448</v>
      </c>
      <c r="B260" t="s">
        <v>1449</v>
      </c>
      <c r="C260" t="s">
        <v>1450</v>
      </c>
      <c r="D260" t="s">
        <v>1451</v>
      </c>
      <c r="E260" t="s">
        <v>364</v>
      </c>
      <c r="F260" t="s">
        <v>1451</v>
      </c>
      <c r="G260" t="s">
        <v>1451</v>
      </c>
      <c r="H260" t="s">
        <v>306</v>
      </c>
      <c r="I260" t="s">
        <v>472</v>
      </c>
      <c r="J260" t="s">
        <v>308</v>
      </c>
      <c r="K260" t="s">
        <v>122</v>
      </c>
      <c r="L260" t="s">
        <v>605</v>
      </c>
      <c r="M260" t="s">
        <v>1452</v>
      </c>
      <c r="N260" t="s">
        <v>1452</v>
      </c>
    </row>
    <row r="261" spans="1:14">
      <c r="A261" t="s">
        <v>1453</v>
      </c>
      <c r="B261" t="s">
        <v>1454</v>
      </c>
      <c r="C261" t="s">
        <v>1455</v>
      </c>
      <c r="D261" t="s">
        <v>1456</v>
      </c>
      <c r="E261" t="s">
        <v>335</v>
      </c>
      <c r="F261" t="s">
        <v>1456</v>
      </c>
      <c r="G261" t="s">
        <v>1456</v>
      </c>
      <c r="H261" t="s">
        <v>316</v>
      </c>
      <c r="I261" t="s">
        <v>317</v>
      </c>
      <c r="J261" t="s">
        <v>318</v>
      </c>
      <c r="K261" t="s">
        <v>122</v>
      </c>
      <c r="L261" t="s">
        <v>381</v>
      </c>
      <c r="M261" t="s">
        <v>1007</v>
      </c>
      <c r="N261" t="s">
        <v>1007</v>
      </c>
    </row>
    <row r="262" spans="1:14">
      <c r="A262" t="s">
        <v>1457</v>
      </c>
      <c r="B262" t="s">
        <v>1458</v>
      </c>
      <c r="C262" t="s">
        <v>1459</v>
      </c>
      <c r="D262" t="s">
        <v>1460</v>
      </c>
      <c r="E262" t="s">
        <v>335</v>
      </c>
      <c r="F262" t="s">
        <v>1460</v>
      </c>
      <c r="G262" t="s">
        <v>1460</v>
      </c>
      <c r="H262" t="s">
        <v>316</v>
      </c>
      <c r="I262" t="s">
        <v>317</v>
      </c>
      <c r="J262" t="s">
        <v>318</v>
      </c>
      <c r="K262" t="s">
        <v>122</v>
      </c>
      <c r="L262" t="s">
        <v>358</v>
      </c>
      <c r="M262" t="s">
        <v>1461</v>
      </c>
      <c r="N262" t="s">
        <v>1461</v>
      </c>
    </row>
    <row r="263" spans="1:14">
      <c r="A263" t="s">
        <v>1462</v>
      </c>
      <c r="B263" t="s">
        <v>1458</v>
      </c>
      <c r="C263" t="s">
        <v>1459</v>
      </c>
      <c r="D263" t="s">
        <v>1456</v>
      </c>
      <c r="E263" t="s">
        <v>335</v>
      </c>
      <c r="F263" t="s">
        <v>1456</v>
      </c>
      <c r="G263" t="s">
        <v>1456</v>
      </c>
      <c r="H263" t="s">
        <v>316</v>
      </c>
      <c r="I263" t="s">
        <v>317</v>
      </c>
      <c r="J263" t="s">
        <v>318</v>
      </c>
      <c r="K263" t="s">
        <v>122</v>
      </c>
      <c r="L263" t="s">
        <v>605</v>
      </c>
      <c r="M263" t="s">
        <v>1007</v>
      </c>
      <c r="N263" t="s">
        <v>1007</v>
      </c>
    </row>
    <row r="264" spans="1:14">
      <c r="A264" t="s">
        <v>1463</v>
      </c>
      <c r="B264" t="s">
        <v>1464</v>
      </c>
      <c r="C264" t="s">
        <v>1465</v>
      </c>
      <c r="D264" t="s">
        <v>1410</v>
      </c>
      <c r="E264" t="s">
        <v>335</v>
      </c>
      <c r="F264" t="s">
        <v>1410</v>
      </c>
      <c r="G264" t="s">
        <v>1410</v>
      </c>
      <c r="H264" t="s">
        <v>326</v>
      </c>
      <c r="I264" t="s">
        <v>327</v>
      </c>
      <c r="J264" t="s">
        <v>318</v>
      </c>
      <c r="K264" t="s">
        <v>122</v>
      </c>
      <c r="L264" t="s">
        <v>605</v>
      </c>
      <c r="M264" t="s">
        <v>1466</v>
      </c>
      <c r="N264" t="s">
        <v>1466</v>
      </c>
    </row>
    <row r="265" spans="1:14">
      <c r="A265" t="s">
        <v>1467</v>
      </c>
      <c r="B265" t="s">
        <v>1468</v>
      </c>
      <c r="C265" t="s">
        <v>1469</v>
      </c>
      <c r="D265" t="s">
        <v>1470</v>
      </c>
      <c r="E265" t="s">
        <v>325</v>
      </c>
      <c r="F265" t="s">
        <v>1470</v>
      </c>
      <c r="G265" t="s">
        <v>1470</v>
      </c>
      <c r="H265" t="s">
        <v>316</v>
      </c>
      <c r="I265" t="s">
        <v>531</v>
      </c>
      <c r="J265" t="s">
        <v>308</v>
      </c>
      <c r="K265" t="s">
        <v>122</v>
      </c>
      <c r="L265" t="s">
        <v>791</v>
      </c>
      <c r="M265" t="s">
        <v>1471</v>
      </c>
      <c r="N265" t="s">
        <v>1471</v>
      </c>
    </row>
    <row r="266" spans="1:14">
      <c r="A266" t="s">
        <v>1472</v>
      </c>
      <c r="B266" t="s">
        <v>434</v>
      </c>
      <c r="C266" t="s">
        <v>435</v>
      </c>
      <c r="D266" t="s">
        <v>1473</v>
      </c>
      <c r="E266" t="s">
        <v>335</v>
      </c>
      <c r="F266" t="s">
        <v>709</v>
      </c>
      <c r="G266" t="s">
        <v>709</v>
      </c>
      <c r="H266" t="s">
        <v>316</v>
      </c>
      <c r="I266" t="s">
        <v>317</v>
      </c>
      <c r="J266" t="s">
        <v>376</v>
      </c>
      <c r="K266" t="s">
        <v>122</v>
      </c>
      <c r="L266" t="s">
        <v>350</v>
      </c>
      <c r="M266" t="s">
        <v>1472</v>
      </c>
      <c r="N266" t="s">
        <v>1472</v>
      </c>
    </row>
    <row r="267" spans="1:14">
      <c r="A267" t="s">
        <v>1474</v>
      </c>
      <c r="B267" t="s">
        <v>759</v>
      </c>
      <c r="C267" t="s">
        <v>760</v>
      </c>
      <c r="D267" t="s">
        <v>543</v>
      </c>
      <c r="E267" t="s">
        <v>325</v>
      </c>
      <c r="F267" t="s">
        <v>543</v>
      </c>
      <c r="G267" t="s">
        <v>543</v>
      </c>
      <c r="H267" t="s">
        <v>316</v>
      </c>
      <c r="I267" t="s">
        <v>317</v>
      </c>
      <c r="J267" t="s">
        <v>328</v>
      </c>
      <c r="K267" t="s">
        <v>122</v>
      </c>
      <c r="L267" t="s">
        <v>319</v>
      </c>
      <c r="M267" t="s">
        <v>1475</v>
      </c>
      <c r="N267" t="s">
        <v>1475</v>
      </c>
    </row>
    <row r="268" spans="1:14">
      <c r="A268" t="s">
        <v>1476</v>
      </c>
      <c r="B268" t="s">
        <v>1477</v>
      </c>
      <c r="C268" t="s">
        <v>1478</v>
      </c>
      <c r="D268" t="s">
        <v>543</v>
      </c>
      <c r="E268" t="s">
        <v>335</v>
      </c>
      <c r="F268" t="s">
        <v>543</v>
      </c>
      <c r="G268" t="s">
        <v>543</v>
      </c>
      <c r="H268" t="s">
        <v>316</v>
      </c>
      <c r="I268" t="s">
        <v>317</v>
      </c>
      <c r="J268" t="s">
        <v>424</v>
      </c>
      <c r="K268" t="s">
        <v>122</v>
      </c>
      <c r="L268" t="s">
        <v>451</v>
      </c>
      <c r="M268" t="s">
        <v>1479</v>
      </c>
      <c r="N268" t="s">
        <v>1479</v>
      </c>
    </row>
    <row r="269" spans="1:14">
      <c r="A269" t="s">
        <v>1480</v>
      </c>
      <c r="B269" t="s">
        <v>1481</v>
      </c>
      <c r="C269" t="s">
        <v>1482</v>
      </c>
      <c r="D269" t="s">
        <v>1483</v>
      </c>
      <c r="E269" t="s">
        <v>335</v>
      </c>
      <c r="F269" t="s">
        <v>1483</v>
      </c>
      <c r="G269" t="s">
        <v>1483</v>
      </c>
      <c r="H269" t="s">
        <v>306</v>
      </c>
      <c r="I269" t="s">
        <v>472</v>
      </c>
      <c r="J269" t="s">
        <v>318</v>
      </c>
      <c r="K269" t="s">
        <v>122</v>
      </c>
      <c r="L269" t="s">
        <v>368</v>
      </c>
      <c r="M269" t="s">
        <v>1484</v>
      </c>
      <c r="N269" t="s">
        <v>1484</v>
      </c>
    </row>
    <row r="270" spans="1:14">
      <c r="A270" t="s">
        <v>1485</v>
      </c>
      <c r="B270" t="s">
        <v>1486</v>
      </c>
      <c r="C270" t="s">
        <v>1487</v>
      </c>
      <c r="D270" t="s">
        <v>1488</v>
      </c>
      <c r="E270" t="s">
        <v>1489</v>
      </c>
      <c r="F270" t="s">
        <v>1488</v>
      </c>
      <c r="G270" t="s">
        <v>1488</v>
      </c>
      <c r="H270" t="s">
        <v>306</v>
      </c>
      <c r="I270" t="s">
        <v>327</v>
      </c>
      <c r="J270" t="s">
        <v>803</v>
      </c>
      <c r="K270" t="s">
        <v>122</v>
      </c>
      <c r="L270" t="s">
        <v>358</v>
      </c>
      <c r="M270" t="s">
        <v>1490</v>
      </c>
      <c r="N270" t="s">
        <v>1490</v>
      </c>
    </row>
    <row r="271" spans="1:14">
      <c r="A271" t="s">
        <v>1491</v>
      </c>
      <c r="B271" t="s">
        <v>620</v>
      </c>
      <c r="C271" t="s">
        <v>621</v>
      </c>
      <c r="D271" t="s">
        <v>1492</v>
      </c>
      <c r="E271" t="s">
        <v>655</v>
      </c>
      <c r="F271" t="s">
        <v>1492</v>
      </c>
      <c r="G271" t="s">
        <v>1492</v>
      </c>
      <c r="H271" t="s">
        <v>306</v>
      </c>
      <c r="I271" t="s">
        <v>307</v>
      </c>
      <c r="J271" t="s">
        <v>424</v>
      </c>
      <c r="K271" t="s">
        <v>122</v>
      </c>
      <c r="L271" t="s">
        <v>386</v>
      </c>
      <c r="M271" t="s">
        <v>1493</v>
      </c>
      <c r="N271" t="s">
        <v>1493</v>
      </c>
    </row>
    <row r="272" spans="1:14">
      <c r="A272" t="s">
        <v>1494</v>
      </c>
      <c r="B272" t="s">
        <v>469</v>
      </c>
      <c r="C272" t="s">
        <v>470</v>
      </c>
      <c r="D272" t="s">
        <v>1495</v>
      </c>
      <c r="E272" t="s">
        <v>325</v>
      </c>
      <c r="F272" t="s">
        <v>1067</v>
      </c>
      <c r="G272" t="s">
        <v>1067</v>
      </c>
      <c r="H272" t="s">
        <v>316</v>
      </c>
      <c r="I272" t="s">
        <v>317</v>
      </c>
      <c r="J272" t="s">
        <v>328</v>
      </c>
      <c r="K272" t="s">
        <v>122</v>
      </c>
      <c r="L272" t="s">
        <v>368</v>
      </c>
      <c r="M272" t="s">
        <v>1496</v>
      </c>
      <c r="N272" t="s">
        <v>1496</v>
      </c>
    </row>
    <row r="273" spans="1:14">
      <c r="A273" t="s">
        <v>1497</v>
      </c>
      <c r="B273" t="s">
        <v>347</v>
      </c>
      <c r="C273" t="s">
        <v>1498</v>
      </c>
      <c r="D273" t="s">
        <v>1499</v>
      </c>
      <c r="E273" t="s">
        <v>325</v>
      </c>
      <c r="F273" t="s">
        <v>1499</v>
      </c>
      <c r="G273" t="s">
        <v>1499</v>
      </c>
      <c r="H273" t="s">
        <v>306</v>
      </c>
      <c r="I273" t="s">
        <v>307</v>
      </c>
      <c r="J273" t="s">
        <v>328</v>
      </c>
      <c r="K273" t="s">
        <v>122</v>
      </c>
      <c r="L273" t="s">
        <v>381</v>
      </c>
      <c r="M273" t="s">
        <v>1500</v>
      </c>
      <c r="N273" t="s">
        <v>1500</v>
      </c>
    </row>
    <row r="274" spans="1:14">
      <c r="A274" t="s">
        <v>1501</v>
      </c>
      <c r="B274" t="s">
        <v>1502</v>
      </c>
      <c r="C274" t="s">
        <v>1503</v>
      </c>
      <c r="D274" t="s">
        <v>1504</v>
      </c>
      <c r="E274" t="s">
        <v>343</v>
      </c>
      <c r="F274" t="s">
        <v>1504</v>
      </c>
      <c r="G274" t="s">
        <v>1504</v>
      </c>
      <c r="H274" t="s">
        <v>306</v>
      </c>
      <c r="I274" t="s">
        <v>307</v>
      </c>
      <c r="J274" t="s">
        <v>210</v>
      </c>
      <c r="K274" t="s">
        <v>122</v>
      </c>
      <c r="L274" t="s">
        <v>344</v>
      </c>
      <c r="M274" t="s">
        <v>1505</v>
      </c>
      <c r="N274" t="s">
        <v>1505</v>
      </c>
    </row>
    <row r="275" spans="1:14">
      <c r="A275" t="s">
        <v>1506</v>
      </c>
      <c r="B275" t="s">
        <v>1507</v>
      </c>
      <c r="C275" t="s">
        <v>1508</v>
      </c>
      <c r="D275" t="s">
        <v>1509</v>
      </c>
      <c r="E275" t="s">
        <v>343</v>
      </c>
      <c r="F275" t="s">
        <v>1509</v>
      </c>
      <c r="G275" t="s">
        <v>1509</v>
      </c>
      <c r="H275" t="s">
        <v>316</v>
      </c>
      <c r="I275" t="s">
        <v>531</v>
      </c>
      <c r="J275" t="s">
        <v>210</v>
      </c>
      <c r="K275" t="s">
        <v>122</v>
      </c>
      <c r="L275" t="s">
        <v>381</v>
      </c>
      <c r="M275" t="s">
        <v>1510</v>
      </c>
      <c r="N275" t="s">
        <v>1510</v>
      </c>
    </row>
    <row r="276" spans="1:14">
      <c r="A276" t="s">
        <v>1511</v>
      </c>
      <c r="B276" t="s">
        <v>1512</v>
      </c>
      <c r="C276" t="s">
        <v>1513</v>
      </c>
      <c r="D276" t="s">
        <v>1509</v>
      </c>
      <c r="E276" t="s">
        <v>364</v>
      </c>
      <c r="F276" t="s">
        <v>1509</v>
      </c>
      <c r="G276" t="s">
        <v>1509</v>
      </c>
      <c r="H276" t="s">
        <v>316</v>
      </c>
      <c r="I276" t="s">
        <v>531</v>
      </c>
      <c r="J276" t="s">
        <v>318</v>
      </c>
      <c r="K276" t="s">
        <v>122</v>
      </c>
      <c r="L276" t="s">
        <v>381</v>
      </c>
      <c r="M276" t="s">
        <v>1514</v>
      </c>
      <c r="N276" t="s">
        <v>1514</v>
      </c>
    </row>
    <row r="277" spans="1:14">
      <c r="A277" t="s">
        <v>1515</v>
      </c>
      <c r="B277" t="s">
        <v>469</v>
      </c>
      <c r="C277" t="s">
        <v>470</v>
      </c>
      <c r="D277" t="s">
        <v>1509</v>
      </c>
      <c r="E277" t="s">
        <v>325</v>
      </c>
      <c r="F277" t="s">
        <v>1509</v>
      </c>
      <c r="G277" t="s">
        <v>1509</v>
      </c>
      <c r="H277" t="s">
        <v>316</v>
      </c>
      <c r="I277" t="s">
        <v>531</v>
      </c>
      <c r="J277" t="s">
        <v>328</v>
      </c>
      <c r="K277" t="s">
        <v>122</v>
      </c>
      <c r="L277" t="s">
        <v>381</v>
      </c>
      <c r="M277" t="s">
        <v>1510</v>
      </c>
      <c r="N277" t="s">
        <v>1510</v>
      </c>
    </row>
    <row r="278" spans="1:14">
      <c r="A278" t="s">
        <v>1516</v>
      </c>
      <c r="B278" t="s">
        <v>561</v>
      </c>
      <c r="C278" t="s">
        <v>561</v>
      </c>
      <c r="D278" t="s">
        <v>1509</v>
      </c>
      <c r="E278" t="s">
        <v>343</v>
      </c>
      <c r="F278" t="s">
        <v>1509</v>
      </c>
      <c r="G278" t="s">
        <v>1509</v>
      </c>
      <c r="H278" t="s">
        <v>316</v>
      </c>
      <c r="I278" t="s">
        <v>531</v>
      </c>
      <c r="J278" t="s">
        <v>308</v>
      </c>
      <c r="K278" t="s">
        <v>122</v>
      </c>
      <c r="L278" t="s">
        <v>327</v>
      </c>
      <c r="M278" t="s">
        <v>1517</v>
      </c>
      <c r="N278" t="s">
        <v>1517</v>
      </c>
    </row>
    <row r="279" spans="1:14">
      <c r="A279" t="s">
        <v>1518</v>
      </c>
      <c r="B279" t="s">
        <v>556</v>
      </c>
      <c r="C279" t="s">
        <v>557</v>
      </c>
      <c r="D279" t="s">
        <v>1519</v>
      </c>
      <c r="E279" t="s">
        <v>325</v>
      </c>
      <c r="F279" t="s">
        <v>1520</v>
      </c>
      <c r="G279" t="s">
        <v>1520</v>
      </c>
      <c r="H279" t="s">
        <v>306</v>
      </c>
      <c r="I279" t="s">
        <v>612</v>
      </c>
      <c r="J279" t="s">
        <v>210</v>
      </c>
      <c r="K279" t="s">
        <v>122</v>
      </c>
      <c r="L279" t="s">
        <v>498</v>
      </c>
      <c r="M279" t="s">
        <v>1518</v>
      </c>
      <c r="N279" t="s">
        <v>1518</v>
      </c>
    </row>
    <row r="280" spans="1:14">
      <c r="A280" t="s">
        <v>1521</v>
      </c>
      <c r="B280" t="s">
        <v>1522</v>
      </c>
      <c r="C280" t="s">
        <v>1523</v>
      </c>
      <c r="D280" t="s">
        <v>1524</v>
      </c>
      <c r="E280" t="s">
        <v>871</v>
      </c>
      <c r="F280" t="s">
        <v>1524</v>
      </c>
      <c r="G280" t="s">
        <v>1524</v>
      </c>
      <c r="H280" t="s">
        <v>326</v>
      </c>
      <c r="I280" t="s">
        <v>327</v>
      </c>
      <c r="J280" t="s">
        <v>318</v>
      </c>
      <c r="K280" t="s">
        <v>122</v>
      </c>
      <c r="L280" t="s">
        <v>498</v>
      </c>
      <c r="M280" t="s">
        <v>1525</v>
      </c>
      <c r="N280" t="s">
        <v>1525</v>
      </c>
    </row>
    <row r="281" spans="1:14">
      <c r="A281" t="s">
        <v>1526</v>
      </c>
      <c r="B281" t="s">
        <v>1527</v>
      </c>
      <c r="C281" t="s">
        <v>1528</v>
      </c>
      <c r="D281" t="s">
        <v>1529</v>
      </c>
      <c r="E281" t="s">
        <v>315</v>
      </c>
      <c r="F281" t="s">
        <v>1529</v>
      </c>
      <c r="G281" t="s">
        <v>1529</v>
      </c>
      <c r="H281" t="s">
        <v>326</v>
      </c>
      <c r="I281" t="s">
        <v>327</v>
      </c>
      <c r="J281" t="s">
        <v>418</v>
      </c>
      <c r="K281" t="s">
        <v>122</v>
      </c>
      <c r="L281" t="s">
        <v>358</v>
      </c>
      <c r="M281" t="s">
        <v>1530</v>
      </c>
      <c r="N281" t="s">
        <v>1530</v>
      </c>
    </row>
    <row r="282" spans="1:14">
      <c r="A282" t="s">
        <v>1531</v>
      </c>
      <c r="B282" t="s">
        <v>1532</v>
      </c>
      <c r="C282" t="s">
        <v>1533</v>
      </c>
      <c r="D282" t="s">
        <v>1534</v>
      </c>
      <c r="E282" t="s">
        <v>325</v>
      </c>
      <c r="F282" t="s">
        <v>1534</v>
      </c>
      <c r="G282" t="s">
        <v>1534</v>
      </c>
      <c r="H282" t="s">
        <v>306</v>
      </c>
      <c r="I282" t="s">
        <v>307</v>
      </c>
      <c r="J282" t="s">
        <v>357</v>
      </c>
      <c r="K282" t="s">
        <v>122</v>
      </c>
      <c r="L282" t="s">
        <v>487</v>
      </c>
      <c r="M282" t="s">
        <v>1535</v>
      </c>
      <c r="N282" t="s">
        <v>1535</v>
      </c>
    </row>
    <row r="283" spans="1:14">
      <c r="A283" t="s">
        <v>1536</v>
      </c>
      <c r="B283" t="s">
        <v>1537</v>
      </c>
      <c r="C283" t="s">
        <v>1538</v>
      </c>
      <c r="D283" t="s">
        <v>1539</v>
      </c>
      <c r="E283" t="s">
        <v>305</v>
      </c>
      <c r="F283" t="s">
        <v>1540</v>
      </c>
      <c r="G283" t="s">
        <v>1540</v>
      </c>
      <c r="H283" t="s">
        <v>306</v>
      </c>
      <c r="I283" t="s">
        <v>307</v>
      </c>
      <c r="J283" t="s">
        <v>424</v>
      </c>
      <c r="K283" t="s">
        <v>122</v>
      </c>
      <c r="L283" t="s">
        <v>386</v>
      </c>
      <c r="M283" t="s">
        <v>1541</v>
      </c>
      <c r="N283" t="s">
        <v>1541</v>
      </c>
    </row>
    <row r="284" spans="1:14">
      <c r="A284" t="s">
        <v>1542</v>
      </c>
      <c r="B284" t="s">
        <v>652</v>
      </c>
      <c r="C284" t="s">
        <v>1543</v>
      </c>
      <c r="D284" t="s">
        <v>980</v>
      </c>
      <c r="E284" t="s">
        <v>430</v>
      </c>
      <c r="F284" t="s">
        <v>980</v>
      </c>
      <c r="G284" t="s">
        <v>980</v>
      </c>
      <c r="H284" t="s">
        <v>306</v>
      </c>
      <c r="I284" t="s">
        <v>307</v>
      </c>
      <c r="J284" t="s">
        <v>357</v>
      </c>
      <c r="K284" t="s">
        <v>122</v>
      </c>
      <c r="L284" t="s">
        <v>386</v>
      </c>
      <c r="M284" t="s">
        <v>1544</v>
      </c>
      <c r="N284" t="s">
        <v>1544</v>
      </c>
    </row>
    <row r="285" spans="1:14">
      <c r="A285" t="s">
        <v>1545</v>
      </c>
      <c r="B285" t="s">
        <v>681</v>
      </c>
      <c r="C285" t="s">
        <v>1546</v>
      </c>
      <c r="D285" t="s">
        <v>1547</v>
      </c>
      <c r="E285" t="s">
        <v>325</v>
      </c>
      <c r="F285" t="s">
        <v>1547</v>
      </c>
      <c r="G285" t="s">
        <v>1547</v>
      </c>
      <c r="H285" t="s">
        <v>306</v>
      </c>
      <c r="I285" t="s">
        <v>307</v>
      </c>
      <c r="J285" t="s">
        <v>357</v>
      </c>
      <c r="K285" t="s">
        <v>122</v>
      </c>
      <c r="L285" t="s">
        <v>386</v>
      </c>
      <c r="M285" t="s">
        <v>1548</v>
      </c>
      <c r="N285" t="s">
        <v>1548</v>
      </c>
    </row>
    <row r="286" spans="1:14">
      <c r="A286" t="s">
        <v>1549</v>
      </c>
      <c r="B286" t="s">
        <v>1550</v>
      </c>
      <c r="C286" t="s">
        <v>1551</v>
      </c>
      <c r="D286" t="s">
        <v>1552</v>
      </c>
      <c r="E286" t="s">
        <v>325</v>
      </c>
      <c r="F286" t="s">
        <v>1552</v>
      </c>
      <c r="G286" t="s">
        <v>1552</v>
      </c>
      <c r="H286" t="s">
        <v>431</v>
      </c>
      <c r="I286" t="s">
        <v>327</v>
      </c>
      <c r="J286" t="s">
        <v>357</v>
      </c>
      <c r="K286" t="s">
        <v>122</v>
      </c>
      <c r="L286" t="s">
        <v>848</v>
      </c>
      <c r="M286" t="s">
        <v>1553</v>
      </c>
      <c r="N286" t="s">
        <v>1553</v>
      </c>
    </row>
    <row r="287" spans="1:14">
      <c r="A287" t="s">
        <v>1554</v>
      </c>
      <c r="B287" t="s">
        <v>1388</v>
      </c>
      <c r="C287" t="s">
        <v>1389</v>
      </c>
      <c r="D287" t="s">
        <v>1555</v>
      </c>
      <c r="E287" t="s">
        <v>315</v>
      </c>
      <c r="F287" t="s">
        <v>1555</v>
      </c>
      <c r="G287" t="s">
        <v>1555</v>
      </c>
      <c r="H287" t="s">
        <v>306</v>
      </c>
      <c r="I287" t="s">
        <v>472</v>
      </c>
      <c r="J287" t="s">
        <v>210</v>
      </c>
      <c r="K287" t="s">
        <v>122</v>
      </c>
      <c r="L287" t="s">
        <v>822</v>
      </c>
      <c r="M287" t="s">
        <v>1556</v>
      </c>
      <c r="N287" t="s">
        <v>1556</v>
      </c>
    </row>
    <row r="288" spans="1:14">
      <c r="A288" t="s">
        <v>1557</v>
      </c>
      <c r="B288" t="s">
        <v>1558</v>
      </c>
      <c r="C288" t="s">
        <v>1559</v>
      </c>
      <c r="D288" t="s">
        <v>1392</v>
      </c>
      <c r="E288" t="s">
        <v>343</v>
      </c>
      <c r="F288" t="s">
        <v>1392</v>
      </c>
      <c r="G288" t="s">
        <v>1392</v>
      </c>
      <c r="H288" t="s">
        <v>306</v>
      </c>
      <c r="I288" t="s">
        <v>472</v>
      </c>
      <c r="J288" t="s">
        <v>397</v>
      </c>
      <c r="K288" t="s">
        <v>122</v>
      </c>
      <c r="L288" t="s">
        <v>344</v>
      </c>
      <c r="M288" t="s">
        <v>1556</v>
      </c>
      <c r="N288" t="s">
        <v>1556</v>
      </c>
    </row>
    <row r="289" spans="1:14">
      <c r="A289" t="s">
        <v>1560</v>
      </c>
      <c r="B289" t="s">
        <v>464</v>
      </c>
      <c r="C289" t="s">
        <v>465</v>
      </c>
      <c r="D289" t="s">
        <v>1561</v>
      </c>
      <c r="E289" t="s">
        <v>364</v>
      </c>
      <c r="F289" t="s">
        <v>1561</v>
      </c>
      <c r="G289" t="s">
        <v>1561</v>
      </c>
      <c r="H289" t="s">
        <v>316</v>
      </c>
      <c r="I289" t="s">
        <v>317</v>
      </c>
      <c r="J289" t="s">
        <v>318</v>
      </c>
      <c r="K289" t="s">
        <v>122</v>
      </c>
      <c r="L289" t="s">
        <v>822</v>
      </c>
      <c r="M289" t="s">
        <v>1562</v>
      </c>
      <c r="N289" t="s">
        <v>1562</v>
      </c>
    </row>
    <row r="290" spans="1:14">
      <c r="A290" t="s">
        <v>1563</v>
      </c>
      <c r="B290" t="s">
        <v>638</v>
      </c>
      <c r="C290" t="s">
        <v>639</v>
      </c>
      <c r="D290" t="s">
        <v>1564</v>
      </c>
      <c r="E290" t="s">
        <v>335</v>
      </c>
      <c r="F290" t="s">
        <v>1564</v>
      </c>
      <c r="G290" t="s">
        <v>1564</v>
      </c>
      <c r="H290" t="s">
        <v>316</v>
      </c>
      <c r="I290" t="s">
        <v>317</v>
      </c>
      <c r="J290" t="s">
        <v>318</v>
      </c>
      <c r="K290" t="s">
        <v>122</v>
      </c>
      <c r="L290" t="s">
        <v>381</v>
      </c>
      <c r="M290" t="s">
        <v>1565</v>
      </c>
      <c r="N290" t="s">
        <v>1565</v>
      </c>
    </row>
    <row r="291" spans="1:14">
      <c r="A291" t="s">
        <v>1566</v>
      </c>
      <c r="B291" t="s">
        <v>469</v>
      </c>
      <c r="C291" t="s">
        <v>470</v>
      </c>
      <c r="D291" t="s">
        <v>521</v>
      </c>
      <c r="E291" t="s">
        <v>325</v>
      </c>
      <c r="F291" t="s">
        <v>1567</v>
      </c>
      <c r="G291" t="s">
        <v>1567</v>
      </c>
      <c r="H291" t="s">
        <v>306</v>
      </c>
      <c r="I291" t="s">
        <v>307</v>
      </c>
      <c r="J291" t="s">
        <v>328</v>
      </c>
      <c r="K291" t="s">
        <v>122</v>
      </c>
      <c r="L291" t="s">
        <v>368</v>
      </c>
      <c r="M291" t="s">
        <v>523</v>
      </c>
      <c r="N291" t="s">
        <v>523</v>
      </c>
    </row>
    <row r="292" spans="1:14">
      <c r="A292" t="s">
        <v>1568</v>
      </c>
      <c r="B292" t="s">
        <v>759</v>
      </c>
      <c r="C292" t="s">
        <v>760</v>
      </c>
      <c r="D292" t="s">
        <v>1569</v>
      </c>
      <c r="E292" t="s">
        <v>343</v>
      </c>
      <c r="F292" t="s">
        <v>1569</v>
      </c>
      <c r="G292" t="s">
        <v>1569</v>
      </c>
      <c r="H292" t="s">
        <v>316</v>
      </c>
      <c r="I292" t="s">
        <v>317</v>
      </c>
      <c r="J292" t="s">
        <v>318</v>
      </c>
      <c r="K292" t="s">
        <v>122</v>
      </c>
      <c r="L292" t="s">
        <v>368</v>
      </c>
      <c r="M292" t="s">
        <v>1570</v>
      </c>
      <c r="N292" t="s">
        <v>1570</v>
      </c>
    </row>
    <row r="293" spans="1:14">
      <c r="A293" t="s">
        <v>1571</v>
      </c>
      <c r="B293" t="s">
        <v>1572</v>
      </c>
      <c r="C293" t="s">
        <v>1573</v>
      </c>
      <c r="D293" t="s">
        <v>1104</v>
      </c>
      <c r="E293" t="s">
        <v>1284</v>
      </c>
      <c r="F293" t="s">
        <v>1104</v>
      </c>
      <c r="G293" t="s">
        <v>1104</v>
      </c>
      <c r="H293" t="s">
        <v>306</v>
      </c>
      <c r="I293" t="s">
        <v>307</v>
      </c>
      <c r="J293" t="s">
        <v>308</v>
      </c>
      <c r="K293" t="s">
        <v>122</v>
      </c>
      <c r="L293" t="s">
        <v>309</v>
      </c>
      <c r="M293" t="s">
        <v>1574</v>
      </c>
      <c r="N293" t="s">
        <v>1574</v>
      </c>
    </row>
    <row r="294" spans="1:14">
      <c r="A294" t="s">
        <v>1575</v>
      </c>
      <c r="B294" t="s">
        <v>587</v>
      </c>
      <c r="C294" t="s">
        <v>588</v>
      </c>
      <c r="D294" t="s">
        <v>1576</v>
      </c>
      <c r="E294" t="s">
        <v>325</v>
      </c>
      <c r="F294" t="s">
        <v>1576</v>
      </c>
      <c r="G294" t="s">
        <v>1576</v>
      </c>
      <c r="H294" t="s">
        <v>306</v>
      </c>
      <c r="I294" t="s">
        <v>472</v>
      </c>
      <c r="J294" t="s">
        <v>397</v>
      </c>
      <c r="K294" t="s">
        <v>122</v>
      </c>
      <c r="L294" t="s">
        <v>329</v>
      </c>
      <c r="M294" t="s">
        <v>1577</v>
      </c>
      <c r="N294" t="s">
        <v>1577</v>
      </c>
    </row>
    <row r="295" spans="1:14">
      <c r="A295" t="s">
        <v>1578</v>
      </c>
      <c r="B295" t="s">
        <v>1579</v>
      </c>
      <c r="C295" t="s">
        <v>1580</v>
      </c>
      <c r="D295" t="s">
        <v>922</v>
      </c>
      <c r="E295" t="s">
        <v>335</v>
      </c>
      <c r="F295" t="s">
        <v>922</v>
      </c>
      <c r="G295" t="s">
        <v>922</v>
      </c>
      <c r="H295" t="s">
        <v>316</v>
      </c>
      <c r="I295" t="s">
        <v>317</v>
      </c>
      <c r="J295" t="s">
        <v>308</v>
      </c>
      <c r="K295" t="s">
        <v>122</v>
      </c>
      <c r="L295" t="s">
        <v>358</v>
      </c>
      <c r="M295" t="s">
        <v>1581</v>
      </c>
      <c r="N295" t="s">
        <v>1581</v>
      </c>
    </row>
    <row r="296" spans="1:14">
      <c r="A296" t="s">
        <v>1582</v>
      </c>
      <c r="B296" t="s">
        <v>1583</v>
      </c>
      <c r="C296" t="s">
        <v>1584</v>
      </c>
      <c r="D296" t="s">
        <v>1585</v>
      </c>
      <c r="E296" t="s">
        <v>335</v>
      </c>
      <c r="F296" t="s">
        <v>1585</v>
      </c>
      <c r="G296" t="s">
        <v>1585</v>
      </c>
      <c r="H296" t="s">
        <v>316</v>
      </c>
      <c r="I296" t="s">
        <v>317</v>
      </c>
      <c r="J296" t="s">
        <v>318</v>
      </c>
      <c r="K296" t="s">
        <v>122</v>
      </c>
      <c r="L296" t="s">
        <v>381</v>
      </c>
      <c r="M296" t="s">
        <v>1586</v>
      </c>
      <c r="N296" t="s">
        <v>1586</v>
      </c>
    </row>
    <row r="297" spans="1:14">
      <c r="A297" t="s">
        <v>1587</v>
      </c>
      <c r="B297" t="s">
        <v>561</v>
      </c>
      <c r="C297" t="s">
        <v>561</v>
      </c>
      <c r="D297" t="s">
        <v>922</v>
      </c>
      <c r="E297" t="s">
        <v>335</v>
      </c>
      <c r="F297" t="s">
        <v>922</v>
      </c>
      <c r="G297" t="s">
        <v>922</v>
      </c>
      <c r="H297" t="s">
        <v>316</v>
      </c>
      <c r="I297" t="s">
        <v>317</v>
      </c>
      <c r="J297" t="s">
        <v>308</v>
      </c>
      <c r="K297" t="s">
        <v>122</v>
      </c>
      <c r="L297" t="s">
        <v>358</v>
      </c>
      <c r="M297" t="s">
        <v>1581</v>
      </c>
      <c r="N297" t="s">
        <v>1581</v>
      </c>
    </row>
    <row r="298" spans="1:14">
      <c r="A298" t="s">
        <v>1588</v>
      </c>
      <c r="B298" t="s">
        <v>1589</v>
      </c>
      <c r="C298" t="s">
        <v>1590</v>
      </c>
      <c r="D298" t="s">
        <v>1529</v>
      </c>
      <c r="E298" t="s">
        <v>343</v>
      </c>
      <c r="F298" t="s">
        <v>1529</v>
      </c>
      <c r="G298" t="s">
        <v>1529</v>
      </c>
      <c r="H298" t="s">
        <v>326</v>
      </c>
      <c r="I298" t="s">
        <v>327</v>
      </c>
      <c r="J298" t="s">
        <v>424</v>
      </c>
      <c r="K298" t="s">
        <v>122</v>
      </c>
      <c r="L298" t="s">
        <v>381</v>
      </c>
      <c r="M298" t="s">
        <v>1591</v>
      </c>
      <c r="N298" t="s">
        <v>1591</v>
      </c>
    </row>
    <row r="299" spans="1:14">
      <c r="A299" t="s">
        <v>1592</v>
      </c>
      <c r="B299" t="s">
        <v>1593</v>
      </c>
      <c r="C299" t="s">
        <v>1594</v>
      </c>
      <c r="D299" t="s">
        <v>1595</v>
      </c>
      <c r="E299" t="s">
        <v>364</v>
      </c>
      <c r="F299" t="s">
        <v>1595</v>
      </c>
      <c r="G299" t="s">
        <v>1595</v>
      </c>
      <c r="H299" t="s">
        <v>316</v>
      </c>
      <c r="I299" t="s">
        <v>317</v>
      </c>
      <c r="J299" t="s">
        <v>318</v>
      </c>
      <c r="K299" t="s">
        <v>122</v>
      </c>
      <c r="L299" t="s">
        <v>605</v>
      </c>
      <c r="M299" t="s">
        <v>1369</v>
      </c>
      <c r="N299" t="s">
        <v>1369</v>
      </c>
    </row>
    <row r="300" spans="1:14">
      <c r="A300" t="s">
        <v>1596</v>
      </c>
      <c r="B300" t="s">
        <v>658</v>
      </c>
      <c r="C300" t="s">
        <v>659</v>
      </c>
      <c r="D300" t="s">
        <v>1597</v>
      </c>
      <c r="E300" t="s">
        <v>343</v>
      </c>
      <c r="F300" t="s">
        <v>1597</v>
      </c>
      <c r="G300" t="s">
        <v>1597</v>
      </c>
      <c r="H300" t="s">
        <v>431</v>
      </c>
      <c r="I300" t="s">
        <v>327</v>
      </c>
      <c r="J300" t="s">
        <v>210</v>
      </c>
      <c r="K300" t="s">
        <v>122</v>
      </c>
      <c r="L300" t="s">
        <v>344</v>
      </c>
      <c r="M300" t="s">
        <v>153</v>
      </c>
      <c r="N300" t="s">
        <v>153</v>
      </c>
    </row>
    <row r="301" spans="1:14">
      <c r="A301" t="s">
        <v>1598</v>
      </c>
      <c r="B301" t="s">
        <v>1599</v>
      </c>
      <c r="C301" t="s">
        <v>1600</v>
      </c>
      <c r="D301" t="s">
        <v>1248</v>
      </c>
      <c r="E301" t="s">
        <v>335</v>
      </c>
      <c r="F301" t="s">
        <v>1248</v>
      </c>
      <c r="G301" t="s">
        <v>1248</v>
      </c>
      <c r="H301" t="s">
        <v>316</v>
      </c>
      <c r="I301" t="s">
        <v>317</v>
      </c>
      <c r="J301" t="s">
        <v>318</v>
      </c>
      <c r="K301" t="s">
        <v>122</v>
      </c>
      <c r="L301" t="s">
        <v>386</v>
      </c>
      <c r="M301" t="s">
        <v>1601</v>
      </c>
      <c r="N301" t="s">
        <v>1601</v>
      </c>
    </row>
    <row r="302" spans="1:14">
      <c r="A302" t="s">
        <v>1602</v>
      </c>
      <c r="B302" t="s">
        <v>638</v>
      </c>
      <c r="C302" t="s">
        <v>639</v>
      </c>
      <c r="D302" t="s">
        <v>1603</v>
      </c>
      <c r="E302" t="s">
        <v>325</v>
      </c>
      <c r="F302" t="s">
        <v>1603</v>
      </c>
      <c r="G302" t="s">
        <v>1603</v>
      </c>
      <c r="H302" t="s">
        <v>316</v>
      </c>
      <c r="I302" t="s">
        <v>317</v>
      </c>
      <c r="J302" t="s">
        <v>328</v>
      </c>
      <c r="K302" t="s">
        <v>122</v>
      </c>
      <c r="L302" t="s">
        <v>329</v>
      </c>
      <c r="M302" t="s">
        <v>1604</v>
      </c>
      <c r="N302" t="s">
        <v>1604</v>
      </c>
    </row>
    <row r="303" spans="1:14">
      <c r="A303" t="s">
        <v>1605</v>
      </c>
      <c r="B303" t="s">
        <v>1606</v>
      </c>
      <c r="C303" t="s">
        <v>1607</v>
      </c>
      <c r="D303" t="s">
        <v>1608</v>
      </c>
      <c r="E303" t="s">
        <v>335</v>
      </c>
      <c r="F303" t="s">
        <v>1248</v>
      </c>
      <c r="G303" t="s">
        <v>1248</v>
      </c>
      <c r="H303" t="s">
        <v>316</v>
      </c>
      <c r="I303" t="s">
        <v>317</v>
      </c>
      <c r="J303" t="s">
        <v>318</v>
      </c>
      <c r="K303" t="s">
        <v>122</v>
      </c>
      <c r="L303" t="s">
        <v>350</v>
      </c>
      <c r="M303" t="s">
        <v>1609</v>
      </c>
      <c r="N303" t="s">
        <v>1609</v>
      </c>
    </row>
    <row r="304" spans="1:14">
      <c r="A304" t="s">
        <v>1610</v>
      </c>
      <c r="B304" t="s">
        <v>556</v>
      </c>
      <c r="C304" t="s">
        <v>557</v>
      </c>
      <c r="D304" t="s">
        <v>1608</v>
      </c>
      <c r="E304" t="s">
        <v>1611</v>
      </c>
      <c r="F304" t="s">
        <v>1248</v>
      </c>
      <c r="G304" t="s">
        <v>1248</v>
      </c>
      <c r="H304" t="s">
        <v>316</v>
      </c>
      <c r="I304" t="s">
        <v>317</v>
      </c>
      <c r="J304" t="s">
        <v>376</v>
      </c>
      <c r="K304" t="s">
        <v>122</v>
      </c>
      <c r="L304" t="s">
        <v>350</v>
      </c>
      <c r="M304" t="s">
        <v>1612</v>
      </c>
      <c r="N304" t="s">
        <v>1612</v>
      </c>
    </row>
    <row r="305" spans="1:14">
      <c r="A305" t="s">
        <v>1613</v>
      </c>
      <c r="B305" t="s">
        <v>1614</v>
      </c>
      <c r="C305" t="s">
        <v>1615</v>
      </c>
      <c r="D305" t="s">
        <v>903</v>
      </c>
      <c r="E305" t="s">
        <v>1616</v>
      </c>
      <c r="F305" t="s">
        <v>903</v>
      </c>
      <c r="G305" t="s">
        <v>903</v>
      </c>
      <c r="H305" t="s">
        <v>316</v>
      </c>
      <c r="I305" t="s">
        <v>317</v>
      </c>
      <c r="J305" t="s">
        <v>318</v>
      </c>
      <c r="K305" t="s">
        <v>122</v>
      </c>
      <c r="L305" t="s">
        <v>381</v>
      </c>
      <c r="M305" t="s">
        <v>1612</v>
      </c>
      <c r="N305" t="s">
        <v>1612</v>
      </c>
    </row>
    <row r="306" spans="1:14">
      <c r="A306" t="s">
        <v>1617</v>
      </c>
      <c r="B306" t="s">
        <v>667</v>
      </c>
      <c r="C306" t="s">
        <v>668</v>
      </c>
      <c r="D306" t="s">
        <v>1618</v>
      </c>
      <c r="E306" t="s">
        <v>335</v>
      </c>
      <c r="F306" t="s">
        <v>1618</v>
      </c>
      <c r="G306" t="s">
        <v>1618</v>
      </c>
      <c r="H306" t="s">
        <v>316</v>
      </c>
      <c r="I306" t="s">
        <v>317</v>
      </c>
      <c r="J306" t="s">
        <v>376</v>
      </c>
      <c r="K306" t="s">
        <v>122</v>
      </c>
      <c r="L306" t="s">
        <v>358</v>
      </c>
      <c r="M306" t="s">
        <v>1619</v>
      </c>
      <c r="N306" t="s">
        <v>1619</v>
      </c>
    </row>
    <row r="307" spans="1:14">
      <c r="A307" t="s">
        <v>1620</v>
      </c>
      <c r="B307" t="s">
        <v>1378</v>
      </c>
      <c r="C307" t="s">
        <v>1379</v>
      </c>
      <c r="D307" t="s">
        <v>1621</v>
      </c>
      <c r="E307" t="s">
        <v>315</v>
      </c>
      <c r="F307" t="s">
        <v>1622</v>
      </c>
      <c r="G307" t="s">
        <v>1622</v>
      </c>
      <c r="H307" t="s">
        <v>306</v>
      </c>
      <c r="I307" t="s">
        <v>307</v>
      </c>
      <c r="J307" t="s">
        <v>318</v>
      </c>
      <c r="K307" t="s">
        <v>122</v>
      </c>
      <c r="L307" t="s">
        <v>368</v>
      </c>
      <c r="M307" t="s">
        <v>1623</v>
      </c>
      <c r="N307" t="s">
        <v>1623</v>
      </c>
    </row>
    <row r="308" spans="1:14">
      <c r="A308" t="s">
        <v>1624</v>
      </c>
      <c r="B308" t="s">
        <v>1625</v>
      </c>
      <c r="C308" t="s">
        <v>1626</v>
      </c>
      <c r="D308" t="s">
        <v>936</v>
      </c>
      <c r="E308" t="s">
        <v>325</v>
      </c>
      <c r="F308" t="s">
        <v>936</v>
      </c>
      <c r="G308" t="s">
        <v>936</v>
      </c>
      <c r="H308" t="s">
        <v>306</v>
      </c>
      <c r="I308" t="s">
        <v>327</v>
      </c>
      <c r="J308" t="s">
        <v>357</v>
      </c>
      <c r="K308" t="s">
        <v>122</v>
      </c>
      <c r="L308" t="s">
        <v>358</v>
      </c>
      <c r="M308" t="s">
        <v>1627</v>
      </c>
      <c r="N308" t="s">
        <v>1627</v>
      </c>
    </row>
    <row r="309" spans="1:14">
      <c r="A309" t="s">
        <v>1628</v>
      </c>
      <c r="B309" t="s">
        <v>1265</v>
      </c>
      <c r="C309" t="s">
        <v>1266</v>
      </c>
      <c r="D309" t="s">
        <v>1629</v>
      </c>
      <c r="E309" t="s">
        <v>325</v>
      </c>
      <c r="F309" t="s">
        <v>1629</v>
      </c>
      <c r="G309" t="s">
        <v>1629</v>
      </c>
      <c r="H309" t="s">
        <v>306</v>
      </c>
      <c r="I309" t="s">
        <v>307</v>
      </c>
      <c r="J309" t="s">
        <v>357</v>
      </c>
      <c r="K309" t="s">
        <v>122</v>
      </c>
      <c r="L309" t="s">
        <v>487</v>
      </c>
      <c r="M309" t="s">
        <v>1630</v>
      </c>
      <c r="N309" t="s">
        <v>1630</v>
      </c>
    </row>
    <row r="310" spans="1:14">
      <c r="A310" t="s">
        <v>1631</v>
      </c>
      <c r="B310" t="s">
        <v>1632</v>
      </c>
      <c r="C310" t="s">
        <v>1633</v>
      </c>
      <c r="D310" t="s">
        <v>1634</v>
      </c>
      <c r="E310" t="s">
        <v>335</v>
      </c>
      <c r="F310" t="s">
        <v>1634</v>
      </c>
      <c r="G310" t="s">
        <v>1634</v>
      </c>
      <c r="H310" t="s">
        <v>316</v>
      </c>
      <c r="I310" t="s">
        <v>317</v>
      </c>
      <c r="J310" t="s">
        <v>308</v>
      </c>
      <c r="K310" t="s">
        <v>122</v>
      </c>
      <c r="L310" t="s">
        <v>381</v>
      </c>
      <c r="M310" t="s">
        <v>1635</v>
      </c>
      <c r="N310" t="s">
        <v>1635</v>
      </c>
    </row>
    <row r="311" spans="1:14">
      <c r="A311" t="s">
        <v>1636</v>
      </c>
      <c r="B311" t="s">
        <v>1637</v>
      </c>
      <c r="C311" t="s">
        <v>1638</v>
      </c>
      <c r="D311" t="s">
        <v>1639</v>
      </c>
      <c r="E311" t="s">
        <v>315</v>
      </c>
      <c r="F311" t="s">
        <v>1639</v>
      </c>
      <c r="G311" t="s">
        <v>1639</v>
      </c>
      <c r="H311" t="s">
        <v>306</v>
      </c>
      <c r="I311" t="s">
        <v>307</v>
      </c>
      <c r="J311" t="s">
        <v>308</v>
      </c>
      <c r="K311" t="s">
        <v>122</v>
      </c>
      <c r="L311" t="s">
        <v>319</v>
      </c>
      <c r="M311" t="s">
        <v>1640</v>
      </c>
      <c r="N311" t="s">
        <v>1640</v>
      </c>
    </row>
    <row r="312" spans="1:14">
      <c r="A312" t="s">
        <v>1641</v>
      </c>
      <c r="B312" t="s">
        <v>1642</v>
      </c>
      <c r="C312" t="s">
        <v>1643</v>
      </c>
      <c r="D312" t="s">
        <v>1644</v>
      </c>
      <c r="E312" t="s">
        <v>343</v>
      </c>
      <c r="F312" t="s">
        <v>1644</v>
      </c>
      <c r="G312" t="s">
        <v>1644</v>
      </c>
      <c r="H312" t="s">
        <v>306</v>
      </c>
      <c r="I312" t="s">
        <v>612</v>
      </c>
      <c r="J312" t="s">
        <v>376</v>
      </c>
      <c r="K312" t="s">
        <v>122</v>
      </c>
      <c r="L312" t="s">
        <v>319</v>
      </c>
      <c r="M312" t="s">
        <v>1645</v>
      </c>
      <c r="N312" t="s">
        <v>1645</v>
      </c>
    </row>
    <row r="313" spans="1:14">
      <c r="A313" t="s">
        <v>1646</v>
      </c>
      <c r="B313" t="s">
        <v>1647</v>
      </c>
      <c r="C313" t="s">
        <v>1648</v>
      </c>
      <c r="D313" t="s">
        <v>1649</v>
      </c>
      <c r="E313" t="s">
        <v>325</v>
      </c>
      <c r="F313" t="s">
        <v>1649</v>
      </c>
      <c r="G313" t="s">
        <v>1649</v>
      </c>
      <c r="H313" t="s">
        <v>306</v>
      </c>
      <c r="I313" t="s">
        <v>307</v>
      </c>
      <c r="J313" t="s">
        <v>424</v>
      </c>
      <c r="K313" t="s">
        <v>122</v>
      </c>
      <c r="L313" t="s">
        <v>498</v>
      </c>
      <c r="M313" t="s">
        <v>1650</v>
      </c>
      <c r="N313" t="s">
        <v>1650</v>
      </c>
    </row>
    <row r="314" spans="1:14">
      <c r="A314" t="s">
        <v>1651</v>
      </c>
      <c r="B314" t="s">
        <v>1652</v>
      </c>
      <c r="C314" t="s">
        <v>1653</v>
      </c>
      <c r="D314" t="s">
        <v>1418</v>
      </c>
      <c r="E314" t="s">
        <v>335</v>
      </c>
      <c r="F314" t="s">
        <v>1233</v>
      </c>
      <c r="G314" t="s">
        <v>1233</v>
      </c>
      <c r="H314" t="s">
        <v>316</v>
      </c>
      <c r="I314" t="s">
        <v>317</v>
      </c>
      <c r="J314" t="s">
        <v>318</v>
      </c>
      <c r="K314" t="s">
        <v>122</v>
      </c>
      <c r="L314" t="s">
        <v>344</v>
      </c>
      <c r="M314" t="s">
        <v>1654</v>
      </c>
      <c r="N314" t="s">
        <v>1654</v>
      </c>
    </row>
    <row r="315" spans="1:14">
      <c r="A315" t="s">
        <v>1655</v>
      </c>
      <c r="B315" t="s">
        <v>667</v>
      </c>
      <c r="C315" t="s">
        <v>668</v>
      </c>
      <c r="D315" t="s">
        <v>1656</v>
      </c>
      <c r="E315" t="s">
        <v>1657</v>
      </c>
      <c r="F315" t="s">
        <v>1656</v>
      </c>
      <c r="G315" t="s">
        <v>1656</v>
      </c>
      <c r="H315" t="s">
        <v>316</v>
      </c>
      <c r="I315" t="s">
        <v>317</v>
      </c>
      <c r="J315" t="s">
        <v>318</v>
      </c>
      <c r="K315" t="s">
        <v>122</v>
      </c>
      <c r="L315" t="s">
        <v>605</v>
      </c>
      <c r="M315" t="s">
        <v>1658</v>
      </c>
      <c r="N315" t="s">
        <v>1658</v>
      </c>
    </row>
    <row r="316" spans="1:14">
      <c r="A316" t="s">
        <v>1659</v>
      </c>
      <c r="B316" t="s">
        <v>667</v>
      </c>
      <c r="C316" t="s">
        <v>668</v>
      </c>
      <c r="D316" t="s">
        <v>1660</v>
      </c>
      <c r="E316" t="s">
        <v>335</v>
      </c>
      <c r="F316" t="s">
        <v>1660</v>
      </c>
      <c r="G316" t="s">
        <v>1660</v>
      </c>
      <c r="H316" t="s">
        <v>316</v>
      </c>
      <c r="I316" t="s">
        <v>317</v>
      </c>
      <c r="J316" t="s">
        <v>318</v>
      </c>
      <c r="K316" t="s">
        <v>122</v>
      </c>
      <c r="L316" t="s">
        <v>368</v>
      </c>
      <c r="M316" t="s">
        <v>1661</v>
      </c>
      <c r="N316" t="s">
        <v>1661</v>
      </c>
    </row>
    <row r="317" spans="1:14">
      <c r="A317" t="s">
        <v>1662</v>
      </c>
      <c r="B317" t="s">
        <v>540</v>
      </c>
      <c r="C317" t="s">
        <v>541</v>
      </c>
      <c r="D317" t="s">
        <v>1663</v>
      </c>
      <c r="E317" t="s">
        <v>335</v>
      </c>
      <c r="F317" t="s">
        <v>1664</v>
      </c>
      <c r="G317" t="s">
        <v>1664</v>
      </c>
      <c r="H317" t="s">
        <v>316</v>
      </c>
      <c r="I317" t="s">
        <v>317</v>
      </c>
      <c r="J317" t="s">
        <v>318</v>
      </c>
      <c r="K317" t="s">
        <v>122</v>
      </c>
      <c r="L317" t="s">
        <v>368</v>
      </c>
      <c r="M317" t="s">
        <v>1655</v>
      </c>
      <c r="N317" t="s">
        <v>1655</v>
      </c>
    </row>
    <row r="318" spans="1:14">
      <c r="A318" t="s">
        <v>1665</v>
      </c>
      <c r="B318" t="s">
        <v>810</v>
      </c>
      <c r="C318" t="s">
        <v>1666</v>
      </c>
      <c r="D318" t="s">
        <v>1667</v>
      </c>
      <c r="E318" t="s">
        <v>325</v>
      </c>
      <c r="F318" t="s">
        <v>1667</v>
      </c>
      <c r="G318" t="s">
        <v>1667</v>
      </c>
      <c r="H318" t="s">
        <v>306</v>
      </c>
      <c r="I318" t="s">
        <v>307</v>
      </c>
      <c r="J318" t="s">
        <v>376</v>
      </c>
      <c r="K318" t="s">
        <v>122</v>
      </c>
      <c r="L318" t="s">
        <v>358</v>
      </c>
      <c r="M318" t="s">
        <v>1668</v>
      </c>
      <c r="N318" t="s">
        <v>1668</v>
      </c>
    </row>
    <row r="319" spans="1:14">
      <c r="A319" t="s">
        <v>1669</v>
      </c>
      <c r="B319" t="s">
        <v>1670</v>
      </c>
      <c r="C319" t="s">
        <v>1671</v>
      </c>
      <c r="D319" t="s">
        <v>1672</v>
      </c>
      <c r="E319" t="s">
        <v>335</v>
      </c>
      <c r="F319" t="s">
        <v>1672</v>
      </c>
      <c r="G319" t="s">
        <v>1672</v>
      </c>
      <c r="H319" t="s">
        <v>316</v>
      </c>
      <c r="I319" t="s">
        <v>317</v>
      </c>
      <c r="J319" t="s">
        <v>424</v>
      </c>
      <c r="K319" t="s">
        <v>122</v>
      </c>
      <c r="L319" t="s">
        <v>451</v>
      </c>
      <c r="M319" t="s">
        <v>1673</v>
      </c>
      <c r="N319" t="s">
        <v>1673</v>
      </c>
    </row>
    <row r="320" spans="1:14">
      <c r="A320" t="s">
        <v>1674</v>
      </c>
      <c r="B320" t="s">
        <v>590</v>
      </c>
      <c r="C320" t="s">
        <v>591</v>
      </c>
      <c r="D320" t="s">
        <v>1675</v>
      </c>
      <c r="E320" t="s">
        <v>335</v>
      </c>
      <c r="F320" t="s">
        <v>1675</v>
      </c>
      <c r="G320" t="s">
        <v>1675</v>
      </c>
      <c r="H320" t="s">
        <v>316</v>
      </c>
      <c r="I320" t="s">
        <v>317</v>
      </c>
      <c r="J320" t="s">
        <v>318</v>
      </c>
      <c r="K320" t="s">
        <v>122</v>
      </c>
      <c r="L320" t="s">
        <v>381</v>
      </c>
      <c r="M320" t="s">
        <v>1676</v>
      </c>
      <c r="N320" t="s">
        <v>1676</v>
      </c>
    </row>
    <row r="321" spans="1:14">
      <c r="A321" t="s">
        <v>1677</v>
      </c>
      <c r="B321" t="s">
        <v>1678</v>
      </c>
      <c r="C321" t="s">
        <v>1679</v>
      </c>
      <c r="D321" t="s">
        <v>1680</v>
      </c>
      <c r="E321" t="s">
        <v>1284</v>
      </c>
      <c r="F321" t="s">
        <v>1681</v>
      </c>
      <c r="G321" t="s">
        <v>1681</v>
      </c>
      <c r="H321" t="s">
        <v>306</v>
      </c>
      <c r="I321" t="s">
        <v>612</v>
      </c>
      <c r="J321" t="s">
        <v>357</v>
      </c>
      <c r="K321" t="s">
        <v>122</v>
      </c>
      <c r="L321" t="s">
        <v>381</v>
      </c>
      <c r="M321" t="s">
        <v>1682</v>
      </c>
      <c r="N321" t="s">
        <v>1682</v>
      </c>
    </row>
    <row r="322" spans="1:14">
      <c r="A322" t="s">
        <v>1683</v>
      </c>
      <c r="B322" t="s">
        <v>1684</v>
      </c>
      <c r="C322" t="s">
        <v>1685</v>
      </c>
      <c r="D322" t="s">
        <v>1686</v>
      </c>
      <c r="E322" t="s">
        <v>343</v>
      </c>
      <c r="F322" t="s">
        <v>1686</v>
      </c>
      <c r="G322" t="s">
        <v>1686</v>
      </c>
      <c r="H322" t="s">
        <v>306</v>
      </c>
      <c r="I322" t="s">
        <v>612</v>
      </c>
      <c r="J322" t="s">
        <v>318</v>
      </c>
      <c r="K322" t="s">
        <v>122</v>
      </c>
      <c r="L322" t="s">
        <v>358</v>
      </c>
      <c r="M322" t="s">
        <v>1687</v>
      </c>
      <c r="N322" t="s">
        <v>1687</v>
      </c>
    </row>
    <row r="323" spans="1:14">
      <c r="A323" t="s">
        <v>1688</v>
      </c>
      <c r="B323" t="s">
        <v>1225</v>
      </c>
      <c r="C323" t="s">
        <v>1226</v>
      </c>
      <c r="D323" t="s">
        <v>1248</v>
      </c>
      <c r="E323" t="s">
        <v>305</v>
      </c>
      <c r="F323" t="s">
        <v>1248</v>
      </c>
      <c r="G323" t="s">
        <v>1248</v>
      </c>
      <c r="H323" t="s">
        <v>316</v>
      </c>
      <c r="I323" t="s">
        <v>317</v>
      </c>
      <c r="J323" t="s">
        <v>318</v>
      </c>
      <c r="K323" t="s">
        <v>122</v>
      </c>
      <c r="L323" t="s">
        <v>381</v>
      </c>
      <c r="M323" t="s">
        <v>1689</v>
      </c>
      <c r="N323" t="s">
        <v>1689</v>
      </c>
    </row>
    <row r="324" spans="1:14">
      <c r="A324" t="s">
        <v>1690</v>
      </c>
      <c r="B324" t="s">
        <v>1331</v>
      </c>
      <c r="C324" t="s">
        <v>1332</v>
      </c>
      <c r="D324" t="s">
        <v>1099</v>
      </c>
      <c r="E324" t="s">
        <v>364</v>
      </c>
      <c r="F324" t="s">
        <v>1691</v>
      </c>
      <c r="G324" t="s">
        <v>1691</v>
      </c>
      <c r="H324" t="s">
        <v>306</v>
      </c>
      <c r="I324" t="s">
        <v>307</v>
      </c>
      <c r="J324" t="s">
        <v>210</v>
      </c>
      <c r="K324" t="s">
        <v>122</v>
      </c>
      <c r="L324" t="s">
        <v>368</v>
      </c>
      <c r="M324" t="s">
        <v>1692</v>
      </c>
      <c r="N324" t="s">
        <v>1692</v>
      </c>
    </row>
    <row r="325" spans="1:14">
      <c r="A325" t="s">
        <v>1693</v>
      </c>
      <c r="B325" t="s">
        <v>1694</v>
      </c>
      <c r="C325" t="s">
        <v>1695</v>
      </c>
      <c r="D325" t="s">
        <v>1529</v>
      </c>
      <c r="E325" t="s">
        <v>335</v>
      </c>
      <c r="F325" t="s">
        <v>1529</v>
      </c>
      <c r="G325" t="s">
        <v>1529</v>
      </c>
      <c r="H325" t="s">
        <v>316</v>
      </c>
      <c r="I325" t="s">
        <v>317</v>
      </c>
      <c r="J325" t="s">
        <v>376</v>
      </c>
      <c r="K325" t="s">
        <v>122</v>
      </c>
      <c r="L325" t="s">
        <v>350</v>
      </c>
      <c r="M325" t="s">
        <v>1693</v>
      </c>
      <c r="N325" t="s">
        <v>1693</v>
      </c>
    </row>
    <row r="326" spans="1:14">
      <c r="A326" t="s">
        <v>1696</v>
      </c>
      <c r="B326" t="s">
        <v>464</v>
      </c>
      <c r="C326" t="s">
        <v>465</v>
      </c>
      <c r="D326" t="s">
        <v>1697</v>
      </c>
      <c r="E326" t="s">
        <v>335</v>
      </c>
      <c r="F326" t="s">
        <v>1697</v>
      </c>
      <c r="G326" t="s">
        <v>1697</v>
      </c>
      <c r="H326" t="s">
        <v>316</v>
      </c>
      <c r="I326" t="s">
        <v>317</v>
      </c>
      <c r="J326" t="s">
        <v>376</v>
      </c>
      <c r="K326" t="s">
        <v>122</v>
      </c>
      <c r="L326" t="s">
        <v>309</v>
      </c>
      <c r="M326" t="s">
        <v>1696</v>
      </c>
      <c r="N326" t="s">
        <v>1696</v>
      </c>
    </row>
    <row r="327" spans="1:14">
      <c r="A327" t="s">
        <v>1698</v>
      </c>
      <c r="B327" t="s">
        <v>464</v>
      </c>
      <c r="C327" t="s">
        <v>465</v>
      </c>
      <c r="D327" t="s">
        <v>1699</v>
      </c>
      <c r="E327" t="s">
        <v>335</v>
      </c>
      <c r="F327" t="s">
        <v>1699</v>
      </c>
      <c r="G327" t="s">
        <v>1699</v>
      </c>
      <c r="H327" t="s">
        <v>316</v>
      </c>
      <c r="I327" t="s">
        <v>317</v>
      </c>
      <c r="J327" t="s">
        <v>376</v>
      </c>
      <c r="K327" t="s">
        <v>122</v>
      </c>
      <c r="L327" t="s">
        <v>350</v>
      </c>
      <c r="M327" t="s">
        <v>1700</v>
      </c>
      <c r="N327" t="s">
        <v>1700</v>
      </c>
    </row>
    <row r="328" spans="1:14">
      <c r="A328" t="s">
        <v>1701</v>
      </c>
      <c r="B328" t="s">
        <v>1702</v>
      </c>
      <c r="C328" t="s">
        <v>1703</v>
      </c>
      <c r="D328" t="s">
        <v>1704</v>
      </c>
      <c r="E328" t="s">
        <v>343</v>
      </c>
      <c r="F328" t="s">
        <v>1704</v>
      </c>
      <c r="G328" t="s">
        <v>1704</v>
      </c>
      <c r="H328" t="s">
        <v>306</v>
      </c>
      <c r="I328" t="s">
        <v>612</v>
      </c>
      <c r="J328" t="s">
        <v>308</v>
      </c>
      <c r="K328" t="s">
        <v>122</v>
      </c>
      <c r="L328" t="s">
        <v>344</v>
      </c>
      <c r="M328" t="s">
        <v>1701</v>
      </c>
      <c r="N328" t="s">
        <v>1701</v>
      </c>
    </row>
    <row r="329" spans="1:14">
      <c r="A329" t="s">
        <v>1705</v>
      </c>
      <c r="B329" t="s">
        <v>347</v>
      </c>
      <c r="C329" t="s">
        <v>1706</v>
      </c>
      <c r="D329" t="s">
        <v>1707</v>
      </c>
      <c r="E329" t="s">
        <v>325</v>
      </c>
      <c r="F329" t="s">
        <v>1707</v>
      </c>
      <c r="G329" t="s">
        <v>1707</v>
      </c>
      <c r="H329" t="s">
        <v>431</v>
      </c>
      <c r="I329" t="s">
        <v>327</v>
      </c>
      <c r="J329" t="s">
        <v>328</v>
      </c>
      <c r="K329" t="s">
        <v>122</v>
      </c>
      <c r="L329" t="s">
        <v>329</v>
      </c>
      <c r="M329" t="s">
        <v>1708</v>
      </c>
      <c r="N329" t="s">
        <v>1708</v>
      </c>
    </row>
    <row r="330" spans="1:14">
      <c r="A330" t="s">
        <v>1709</v>
      </c>
      <c r="B330" t="s">
        <v>556</v>
      </c>
      <c r="C330" t="s">
        <v>557</v>
      </c>
      <c r="D330" t="s">
        <v>1710</v>
      </c>
      <c r="E330" t="s">
        <v>325</v>
      </c>
      <c r="F330" t="s">
        <v>1710</v>
      </c>
      <c r="G330" t="s">
        <v>1710</v>
      </c>
      <c r="H330" t="s">
        <v>326</v>
      </c>
      <c r="I330" t="s">
        <v>327</v>
      </c>
      <c r="J330" t="s">
        <v>328</v>
      </c>
      <c r="K330" t="s">
        <v>122</v>
      </c>
      <c r="L330" t="s">
        <v>350</v>
      </c>
      <c r="M330" t="s">
        <v>1711</v>
      </c>
      <c r="N330" t="s">
        <v>1711</v>
      </c>
    </row>
    <row r="331" spans="1:14">
      <c r="A331" t="s">
        <v>1712</v>
      </c>
      <c r="B331" t="s">
        <v>1713</v>
      </c>
      <c r="C331" t="s">
        <v>1714</v>
      </c>
      <c r="D331" t="s">
        <v>1715</v>
      </c>
      <c r="E331" t="s">
        <v>335</v>
      </c>
      <c r="F331" t="s">
        <v>1715</v>
      </c>
      <c r="G331" t="s">
        <v>1715</v>
      </c>
      <c r="H331" t="s">
        <v>306</v>
      </c>
      <c r="I331" t="s">
        <v>307</v>
      </c>
      <c r="J331" t="s">
        <v>318</v>
      </c>
      <c r="K331" t="s">
        <v>122</v>
      </c>
      <c r="L331" t="s">
        <v>381</v>
      </c>
      <c r="M331" t="s">
        <v>1376</v>
      </c>
      <c r="N331" t="s">
        <v>1376</v>
      </c>
    </row>
    <row r="332" spans="1:14">
      <c r="A332" t="s">
        <v>1716</v>
      </c>
      <c r="B332" t="s">
        <v>929</v>
      </c>
      <c r="C332" t="s">
        <v>1717</v>
      </c>
      <c r="D332" t="s">
        <v>1718</v>
      </c>
      <c r="E332" t="s">
        <v>343</v>
      </c>
      <c r="F332" t="s">
        <v>1718</v>
      </c>
      <c r="G332" t="s">
        <v>1718</v>
      </c>
      <c r="H332" t="s">
        <v>326</v>
      </c>
      <c r="I332" t="s">
        <v>327</v>
      </c>
      <c r="J332" t="s">
        <v>376</v>
      </c>
      <c r="K332" t="s">
        <v>122</v>
      </c>
      <c r="L332" t="s">
        <v>368</v>
      </c>
      <c r="M332" t="s">
        <v>1484</v>
      </c>
      <c r="N332" t="s">
        <v>1484</v>
      </c>
    </row>
    <row r="333" spans="1:14">
      <c r="A333" t="s">
        <v>1719</v>
      </c>
      <c r="B333" t="s">
        <v>1720</v>
      </c>
      <c r="C333" t="s">
        <v>1721</v>
      </c>
      <c r="D333" t="s">
        <v>1718</v>
      </c>
      <c r="E333" t="s">
        <v>343</v>
      </c>
      <c r="F333" t="s">
        <v>1718</v>
      </c>
      <c r="G333" t="s">
        <v>1718</v>
      </c>
      <c r="H333" t="s">
        <v>326</v>
      </c>
      <c r="I333" t="s">
        <v>327</v>
      </c>
      <c r="J333" t="s">
        <v>418</v>
      </c>
      <c r="K333" t="s">
        <v>122</v>
      </c>
      <c r="L333" t="s">
        <v>368</v>
      </c>
      <c r="M333" t="s">
        <v>1722</v>
      </c>
      <c r="N333" t="s">
        <v>1722</v>
      </c>
    </row>
    <row r="334" spans="1:14">
      <c r="A334" t="s">
        <v>1723</v>
      </c>
      <c r="B334" t="s">
        <v>1724</v>
      </c>
      <c r="C334" t="s">
        <v>1725</v>
      </c>
      <c r="D334" t="s">
        <v>1718</v>
      </c>
      <c r="E334" t="s">
        <v>343</v>
      </c>
      <c r="F334" t="s">
        <v>1718</v>
      </c>
      <c r="G334" t="s">
        <v>1718</v>
      </c>
      <c r="H334" t="s">
        <v>326</v>
      </c>
      <c r="I334" t="s">
        <v>327</v>
      </c>
      <c r="J334" t="s">
        <v>424</v>
      </c>
      <c r="K334" t="s">
        <v>122</v>
      </c>
      <c r="L334" t="s">
        <v>368</v>
      </c>
      <c r="M334" t="s">
        <v>1484</v>
      </c>
      <c r="N334" t="s">
        <v>1484</v>
      </c>
    </row>
    <row r="335" spans="1:14">
      <c r="A335" t="s">
        <v>1726</v>
      </c>
      <c r="B335" t="s">
        <v>947</v>
      </c>
      <c r="C335" t="s">
        <v>1727</v>
      </c>
      <c r="D335" t="s">
        <v>1718</v>
      </c>
      <c r="E335" t="s">
        <v>343</v>
      </c>
      <c r="F335" t="s">
        <v>1728</v>
      </c>
      <c r="G335" t="s">
        <v>1728</v>
      </c>
      <c r="H335" t="s">
        <v>326</v>
      </c>
      <c r="I335" t="s">
        <v>327</v>
      </c>
      <c r="J335" t="s">
        <v>328</v>
      </c>
      <c r="K335" t="s">
        <v>122</v>
      </c>
      <c r="L335" t="s">
        <v>368</v>
      </c>
      <c r="M335" t="s">
        <v>1484</v>
      </c>
      <c r="N335" t="s">
        <v>1484</v>
      </c>
    </row>
    <row r="336" spans="1:14">
      <c r="A336" t="s">
        <v>1729</v>
      </c>
      <c r="B336" t="s">
        <v>1730</v>
      </c>
      <c r="C336" t="s">
        <v>1731</v>
      </c>
      <c r="D336" t="s">
        <v>1732</v>
      </c>
      <c r="E336" t="s">
        <v>343</v>
      </c>
      <c r="F336" t="s">
        <v>1732</v>
      </c>
      <c r="G336" t="s">
        <v>1732</v>
      </c>
      <c r="H336" t="s">
        <v>306</v>
      </c>
      <c r="I336" t="s">
        <v>307</v>
      </c>
      <c r="J336" t="s">
        <v>376</v>
      </c>
      <c r="K336" t="s">
        <v>122</v>
      </c>
      <c r="L336" t="s">
        <v>381</v>
      </c>
      <c r="M336" t="s">
        <v>1733</v>
      </c>
      <c r="N336" t="s">
        <v>1733</v>
      </c>
    </row>
    <row r="337" spans="1:14">
      <c r="A337" t="s">
        <v>1734</v>
      </c>
      <c r="B337" t="s">
        <v>939</v>
      </c>
      <c r="C337" t="s">
        <v>940</v>
      </c>
      <c r="D337" t="s">
        <v>1735</v>
      </c>
      <c r="E337" t="s">
        <v>325</v>
      </c>
      <c r="F337" t="s">
        <v>1735</v>
      </c>
      <c r="G337" t="s">
        <v>1735</v>
      </c>
      <c r="H337" t="s">
        <v>306</v>
      </c>
      <c r="I337" t="s">
        <v>307</v>
      </c>
      <c r="J337" t="s">
        <v>357</v>
      </c>
      <c r="K337" t="s">
        <v>122</v>
      </c>
      <c r="L337" t="s">
        <v>487</v>
      </c>
      <c r="M337" t="s">
        <v>1736</v>
      </c>
      <c r="N337" t="s">
        <v>1736</v>
      </c>
    </row>
    <row r="338" spans="1:14">
      <c r="A338" t="s">
        <v>1737</v>
      </c>
      <c r="B338" t="s">
        <v>1738</v>
      </c>
      <c r="C338" t="s">
        <v>1739</v>
      </c>
      <c r="D338" t="s">
        <v>1483</v>
      </c>
      <c r="E338" t="s">
        <v>1740</v>
      </c>
      <c r="F338" t="s">
        <v>1483</v>
      </c>
      <c r="G338" t="s">
        <v>1483</v>
      </c>
      <c r="H338" t="s">
        <v>316</v>
      </c>
      <c r="I338" t="s">
        <v>317</v>
      </c>
      <c r="J338" t="s">
        <v>318</v>
      </c>
      <c r="K338" t="s">
        <v>122</v>
      </c>
      <c r="L338" t="s">
        <v>309</v>
      </c>
      <c r="M338" t="s">
        <v>1741</v>
      </c>
      <c r="N338" t="s">
        <v>1741</v>
      </c>
    </row>
    <row r="339" spans="1:14">
      <c r="A339" t="s">
        <v>1742</v>
      </c>
      <c r="B339" t="s">
        <v>1743</v>
      </c>
      <c r="C339" t="s">
        <v>1744</v>
      </c>
      <c r="D339" t="s">
        <v>1745</v>
      </c>
      <c r="E339" t="s">
        <v>1746</v>
      </c>
      <c r="F339" t="s">
        <v>1745</v>
      </c>
      <c r="G339" t="s">
        <v>1745</v>
      </c>
      <c r="H339" t="s">
        <v>316</v>
      </c>
      <c r="I339" t="s">
        <v>317</v>
      </c>
      <c r="J339" t="s">
        <v>318</v>
      </c>
      <c r="K339" t="s">
        <v>122</v>
      </c>
      <c r="L339" t="s">
        <v>309</v>
      </c>
      <c r="M339" t="s">
        <v>1741</v>
      </c>
      <c r="N339" t="s">
        <v>1741</v>
      </c>
    </row>
    <row r="340" spans="1:14">
      <c r="A340" t="s">
        <v>1747</v>
      </c>
      <c r="B340" t="s">
        <v>759</v>
      </c>
      <c r="C340" t="s">
        <v>760</v>
      </c>
      <c r="D340" t="s">
        <v>1748</v>
      </c>
      <c r="E340" t="s">
        <v>343</v>
      </c>
      <c r="F340" t="s">
        <v>1748</v>
      </c>
      <c r="G340" t="s">
        <v>1748</v>
      </c>
      <c r="H340" t="s">
        <v>306</v>
      </c>
      <c r="I340" t="s">
        <v>472</v>
      </c>
      <c r="J340" t="s">
        <v>210</v>
      </c>
      <c r="K340" t="s">
        <v>122</v>
      </c>
      <c r="L340" t="s">
        <v>329</v>
      </c>
      <c r="M340" t="s">
        <v>1452</v>
      </c>
      <c r="N340" t="s">
        <v>1452</v>
      </c>
    </row>
    <row r="341" spans="1:14">
      <c r="A341" t="s">
        <v>1749</v>
      </c>
      <c r="B341" t="s">
        <v>1750</v>
      </c>
      <c r="C341" t="s">
        <v>1751</v>
      </c>
      <c r="D341" t="s">
        <v>888</v>
      </c>
      <c r="E341" t="s">
        <v>364</v>
      </c>
      <c r="F341" t="s">
        <v>1752</v>
      </c>
      <c r="G341" t="s">
        <v>1752</v>
      </c>
      <c r="H341" t="s">
        <v>326</v>
      </c>
      <c r="I341" t="s">
        <v>327</v>
      </c>
      <c r="J341" t="s">
        <v>308</v>
      </c>
      <c r="K341" t="s">
        <v>122</v>
      </c>
      <c r="L341" t="s">
        <v>327</v>
      </c>
      <c r="M341" t="s">
        <v>1452</v>
      </c>
      <c r="N341" t="s">
        <v>1452</v>
      </c>
    </row>
    <row r="342" spans="1:14">
      <c r="A342" t="s">
        <v>1753</v>
      </c>
      <c r="B342" t="s">
        <v>1754</v>
      </c>
      <c r="C342" t="s">
        <v>1755</v>
      </c>
      <c r="D342" t="s">
        <v>756</v>
      </c>
      <c r="E342" t="s">
        <v>335</v>
      </c>
      <c r="F342" t="s">
        <v>756</v>
      </c>
      <c r="G342" t="s">
        <v>756</v>
      </c>
      <c r="H342" t="s">
        <v>316</v>
      </c>
      <c r="I342" t="s">
        <v>317</v>
      </c>
      <c r="J342" t="s">
        <v>424</v>
      </c>
      <c r="K342" t="s">
        <v>122</v>
      </c>
      <c r="L342" t="s">
        <v>381</v>
      </c>
      <c r="M342" t="s">
        <v>1756</v>
      </c>
      <c r="N342" t="s">
        <v>1756</v>
      </c>
    </row>
    <row r="343" spans="1:14">
      <c r="A343" t="s">
        <v>1757</v>
      </c>
      <c r="B343" t="s">
        <v>771</v>
      </c>
      <c r="C343" t="s">
        <v>772</v>
      </c>
      <c r="D343" t="s">
        <v>1758</v>
      </c>
      <c r="E343" t="s">
        <v>343</v>
      </c>
      <c r="F343" t="s">
        <v>1758</v>
      </c>
      <c r="G343" t="s">
        <v>1758</v>
      </c>
      <c r="H343" t="s">
        <v>306</v>
      </c>
      <c r="I343" t="s">
        <v>307</v>
      </c>
      <c r="J343" t="s">
        <v>418</v>
      </c>
      <c r="K343" t="s">
        <v>122</v>
      </c>
      <c r="L343" t="s">
        <v>734</v>
      </c>
      <c r="M343" t="s">
        <v>1759</v>
      </c>
      <c r="N343" t="s">
        <v>1759</v>
      </c>
    </row>
    <row r="344" spans="1:14">
      <c r="A344" t="s">
        <v>1760</v>
      </c>
      <c r="B344" t="s">
        <v>1761</v>
      </c>
      <c r="C344" t="s">
        <v>1762</v>
      </c>
      <c r="D344" t="s">
        <v>1763</v>
      </c>
      <c r="E344" t="s">
        <v>335</v>
      </c>
      <c r="F344" t="s">
        <v>1763</v>
      </c>
      <c r="G344" t="s">
        <v>1763</v>
      </c>
      <c r="H344" t="s">
        <v>316</v>
      </c>
      <c r="I344" t="s">
        <v>317</v>
      </c>
      <c r="J344" t="s">
        <v>318</v>
      </c>
      <c r="K344" t="s">
        <v>122</v>
      </c>
      <c r="L344" t="s">
        <v>605</v>
      </c>
      <c r="M344" t="s">
        <v>1764</v>
      </c>
      <c r="N344" t="s">
        <v>1764</v>
      </c>
    </row>
    <row r="345" spans="1:14">
      <c r="A345" t="s">
        <v>1765</v>
      </c>
      <c r="B345" t="s">
        <v>546</v>
      </c>
      <c r="C345" t="s">
        <v>547</v>
      </c>
      <c r="D345" t="s">
        <v>1766</v>
      </c>
      <c r="E345" t="s">
        <v>343</v>
      </c>
      <c r="F345" t="s">
        <v>1766</v>
      </c>
      <c r="G345" t="s">
        <v>1766</v>
      </c>
      <c r="H345" t="s">
        <v>316</v>
      </c>
      <c r="I345" t="s">
        <v>317</v>
      </c>
      <c r="J345" t="s">
        <v>418</v>
      </c>
      <c r="K345" t="s">
        <v>122</v>
      </c>
      <c r="L345" t="s">
        <v>358</v>
      </c>
      <c r="M345" t="s">
        <v>1767</v>
      </c>
      <c r="N345" t="s">
        <v>1767</v>
      </c>
    </row>
    <row r="346" spans="1:14">
      <c r="A346" t="s">
        <v>1768</v>
      </c>
      <c r="B346" t="s">
        <v>561</v>
      </c>
      <c r="C346" t="s">
        <v>561</v>
      </c>
      <c r="D346" t="s">
        <v>1769</v>
      </c>
      <c r="E346" t="s">
        <v>343</v>
      </c>
      <c r="F346" t="s">
        <v>1769</v>
      </c>
      <c r="G346" t="s">
        <v>1769</v>
      </c>
      <c r="H346" t="s">
        <v>326</v>
      </c>
      <c r="I346" t="s">
        <v>327</v>
      </c>
      <c r="J346" t="s">
        <v>308</v>
      </c>
      <c r="K346" t="s">
        <v>122</v>
      </c>
      <c r="L346" t="s">
        <v>358</v>
      </c>
      <c r="M346" t="s">
        <v>1770</v>
      </c>
      <c r="N346" t="s">
        <v>1770</v>
      </c>
    </row>
    <row r="347" spans="1:14">
      <c r="A347" t="s">
        <v>1771</v>
      </c>
      <c r="B347" t="s">
        <v>1772</v>
      </c>
      <c r="C347" t="s">
        <v>1773</v>
      </c>
      <c r="D347" t="s">
        <v>1774</v>
      </c>
      <c r="E347" t="s">
        <v>335</v>
      </c>
      <c r="F347" t="s">
        <v>1774</v>
      </c>
      <c r="G347" t="s">
        <v>1774</v>
      </c>
      <c r="H347" t="s">
        <v>316</v>
      </c>
      <c r="I347" t="s">
        <v>317</v>
      </c>
      <c r="J347" t="s">
        <v>424</v>
      </c>
      <c r="K347" t="s">
        <v>122</v>
      </c>
      <c r="L347" t="s">
        <v>451</v>
      </c>
      <c r="M347" t="s">
        <v>1775</v>
      </c>
      <c r="N347" t="s">
        <v>1775</v>
      </c>
    </row>
    <row r="348" spans="1:14">
      <c r="A348" t="s">
        <v>1776</v>
      </c>
      <c r="B348" t="s">
        <v>1777</v>
      </c>
      <c r="C348" t="s">
        <v>1778</v>
      </c>
      <c r="D348" t="s">
        <v>1779</v>
      </c>
      <c r="E348" t="s">
        <v>1219</v>
      </c>
      <c r="F348" t="s">
        <v>1779</v>
      </c>
      <c r="G348" t="s">
        <v>1779</v>
      </c>
      <c r="H348" t="s">
        <v>316</v>
      </c>
      <c r="I348" t="s">
        <v>317</v>
      </c>
      <c r="J348" t="s">
        <v>418</v>
      </c>
      <c r="K348" t="s">
        <v>122</v>
      </c>
      <c r="L348" t="s">
        <v>386</v>
      </c>
      <c r="M348" t="s">
        <v>1775</v>
      </c>
      <c r="N348" t="s">
        <v>1775</v>
      </c>
    </row>
    <row r="349" spans="1:14">
      <c r="A349" t="s">
        <v>1780</v>
      </c>
      <c r="B349" t="s">
        <v>1781</v>
      </c>
      <c r="C349" t="s">
        <v>1782</v>
      </c>
      <c r="D349" t="s">
        <v>756</v>
      </c>
      <c r="E349" t="s">
        <v>335</v>
      </c>
      <c r="F349" t="s">
        <v>756</v>
      </c>
      <c r="G349" t="s">
        <v>756</v>
      </c>
      <c r="H349" t="s">
        <v>316</v>
      </c>
      <c r="I349" t="s">
        <v>317</v>
      </c>
      <c r="J349" t="s">
        <v>424</v>
      </c>
      <c r="K349" t="s">
        <v>122</v>
      </c>
      <c r="L349" t="s">
        <v>381</v>
      </c>
      <c r="M349" t="s">
        <v>1783</v>
      </c>
      <c r="N349" t="s">
        <v>1783</v>
      </c>
    </row>
    <row r="350" spans="1:14">
      <c r="A350" t="s">
        <v>1784</v>
      </c>
      <c r="B350" t="s">
        <v>561</v>
      </c>
      <c r="C350" t="s">
        <v>561</v>
      </c>
      <c r="D350" t="s">
        <v>1766</v>
      </c>
      <c r="E350" t="s">
        <v>325</v>
      </c>
      <c r="F350" t="s">
        <v>1766</v>
      </c>
      <c r="G350" t="s">
        <v>1766</v>
      </c>
      <c r="H350" t="s">
        <v>316</v>
      </c>
      <c r="I350" t="s">
        <v>317</v>
      </c>
      <c r="J350" t="s">
        <v>376</v>
      </c>
      <c r="K350" t="s">
        <v>122</v>
      </c>
      <c r="L350" t="s">
        <v>381</v>
      </c>
      <c r="M350" t="s">
        <v>1785</v>
      </c>
      <c r="N350" t="s">
        <v>1785</v>
      </c>
    </row>
    <row r="351" spans="1:14">
      <c r="A351" t="s">
        <v>1786</v>
      </c>
      <c r="B351" t="s">
        <v>1787</v>
      </c>
      <c r="C351" t="s">
        <v>1788</v>
      </c>
      <c r="D351" t="s">
        <v>1789</v>
      </c>
      <c r="E351" t="s">
        <v>325</v>
      </c>
      <c r="F351" t="s">
        <v>1789</v>
      </c>
      <c r="G351" t="s">
        <v>1789</v>
      </c>
      <c r="H351" t="s">
        <v>316</v>
      </c>
      <c r="I351" t="s">
        <v>317</v>
      </c>
      <c r="J351" t="s">
        <v>397</v>
      </c>
      <c r="K351" t="s">
        <v>122</v>
      </c>
      <c r="L351" t="s">
        <v>358</v>
      </c>
      <c r="M351" t="s">
        <v>1790</v>
      </c>
      <c r="N351" t="s">
        <v>1790</v>
      </c>
    </row>
    <row r="352" spans="1:14">
      <c r="A352" t="s">
        <v>1791</v>
      </c>
      <c r="B352" t="s">
        <v>1792</v>
      </c>
      <c r="C352" t="s">
        <v>1793</v>
      </c>
      <c r="D352" t="s">
        <v>1794</v>
      </c>
      <c r="E352" t="s">
        <v>325</v>
      </c>
      <c r="F352" t="s">
        <v>1794</v>
      </c>
      <c r="G352" t="s">
        <v>1794</v>
      </c>
      <c r="H352" t="s">
        <v>306</v>
      </c>
      <c r="I352" t="s">
        <v>307</v>
      </c>
      <c r="J352" t="s">
        <v>318</v>
      </c>
      <c r="K352" t="s">
        <v>122</v>
      </c>
      <c r="L352" t="s">
        <v>381</v>
      </c>
      <c r="M352" t="s">
        <v>1795</v>
      </c>
      <c r="N352" t="s">
        <v>1795</v>
      </c>
    </row>
    <row r="353" spans="1:14">
      <c r="A353" t="s">
        <v>1796</v>
      </c>
      <c r="B353" t="s">
        <v>1614</v>
      </c>
      <c r="C353" t="s">
        <v>1615</v>
      </c>
      <c r="D353" t="s">
        <v>1797</v>
      </c>
      <c r="E353" t="s">
        <v>325</v>
      </c>
      <c r="F353" t="s">
        <v>1797</v>
      </c>
      <c r="G353" t="s">
        <v>1797</v>
      </c>
      <c r="H353" t="s">
        <v>306</v>
      </c>
      <c r="I353" t="s">
        <v>307</v>
      </c>
      <c r="J353" t="s">
        <v>357</v>
      </c>
      <c r="K353" t="s">
        <v>122</v>
      </c>
      <c r="L353" t="s">
        <v>451</v>
      </c>
      <c r="M353" t="s">
        <v>1798</v>
      </c>
      <c r="N353" t="s">
        <v>1798</v>
      </c>
    </row>
    <row r="354" spans="1:14">
      <c r="A354" t="s">
        <v>1799</v>
      </c>
      <c r="B354" t="s">
        <v>1800</v>
      </c>
      <c r="C354" t="s">
        <v>1801</v>
      </c>
      <c r="D354" t="s">
        <v>506</v>
      </c>
      <c r="E354" t="s">
        <v>325</v>
      </c>
      <c r="F354" t="s">
        <v>506</v>
      </c>
      <c r="G354" t="s">
        <v>506</v>
      </c>
      <c r="H354" t="s">
        <v>306</v>
      </c>
      <c r="I354" t="s">
        <v>307</v>
      </c>
      <c r="J354" t="s">
        <v>376</v>
      </c>
      <c r="K354" t="s">
        <v>122</v>
      </c>
      <c r="L354" t="s">
        <v>368</v>
      </c>
      <c r="M354" t="s">
        <v>1802</v>
      </c>
      <c r="N354" t="s">
        <v>1802</v>
      </c>
    </row>
    <row r="355" spans="1:14">
      <c r="A355" t="s">
        <v>1803</v>
      </c>
      <c r="B355" t="s">
        <v>378</v>
      </c>
      <c r="C355" t="s">
        <v>379</v>
      </c>
      <c r="D355" t="s">
        <v>1456</v>
      </c>
      <c r="E355" t="s">
        <v>611</v>
      </c>
      <c r="F355" t="s">
        <v>1456</v>
      </c>
      <c r="G355" t="s">
        <v>1456</v>
      </c>
      <c r="H355" t="s">
        <v>306</v>
      </c>
      <c r="I355" t="s">
        <v>472</v>
      </c>
      <c r="J355" t="s">
        <v>210</v>
      </c>
      <c r="K355" t="s">
        <v>122</v>
      </c>
      <c r="L355" t="s">
        <v>822</v>
      </c>
      <c r="M355" t="s">
        <v>1804</v>
      </c>
      <c r="N355" t="s">
        <v>1804</v>
      </c>
    </row>
    <row r="356" spans="1:14">
      <c r="A356" t="s">
        <v>1805</v>
      </c>
      <c r="B356" t="s">
        <v>490</v>
      </c>
      <c r="C356" t="s">
        <v>491</v>
      </c>
      <c r="D356" t="s">
        <v>1806</v>
      </c>
      <c r="E356" t="s">
        <v>325</v>
      </c>
      <c r="F356" t="s">
        <v>1806</v>
      </c>
      <c r="G356" t="s">
        <v>1806</v>
      </c>
      <c r="H356" t="s">
        <v>431</v>
      </c>
      <c r="I356" t="s">
        <v>327</v>
      </c>
      <c r="J356" t="s">
        <v>357</v>
      </c>
      <c r="K356" t="s">
        <v>122</v>
      </c>
      <c r="L356" t="s">
        <v>451</v>
      </c>
      <c r="M356" t="s">
        <v>1807</v>
      </c>
      <c r="N356" t="s">
        <v>1807</v>
      </c>
    </row>
    <row r="357" spans="1:14">
      <c r="A357" t="s">
        <v>1808</v>
      </c>
      <c r="B357" t="s">
        <v>642</v>
      </c>
      <c r="C357" t="s">
        <v>643</v>
      </c>
      <c r="D357" t="s">
        <v>1809</v>
      </c>
      <c r="E357" t="s">
        <v>305</v>
      </c>
      <c r="F357" t="s">
        <v>1810</v>
      </c>
      <c r="G357" t="s">
        <v>1810</v>
      </c>
      <c r="H357" t="s">
        <v>306</v>
      </c>
      <c r="I357" t="s">
        <v>327</v>
      </c>
      <c r="J357" t="s">
        <v>424</v>
      </c>
      <c r="K357" t="s">
        <v>122</v>
      </c>
      <c r="L357" t="s">
        <v>386</v>
      </c>
      <c r="M357" t="s">
        <v>1811</v>
      </c>
      <c r="N357" t="s">
        <v>1811</v>
      </c>
    </row>
    <row r="358" spans="1:14">
      <c r="A358" t="s">
        <v>1812</v>
      </c>
      <c r="B358" t="s">
        <v>1199</v>
      </c>
      <c r="C358" t="s">
        <v>1200</v>
      </c>
      <c r="D358" t="s">
        <v>1813</v>
      </c>
      <c r="E358" t="s">
        <v>305</v>
      </c>
      <c r="F358" t="s">
        <v>1810</v>
      </c>
      <c r="G358" t="s">
        <v>1810</v>
      </c>
      <c r="H358" t="s">
        <v>306</v>
      </c>
      <c r="I358" t="s">
        <v>307</v>
      </c>
      <c r="J358" t="s">
        <v>424</v>
      </c>
      <c r="K358" t="s">
        <v>122</v>
      </c>
      <c r="L358" t="s">
        <v>386</v>
      </c>
      <c r="M358" t="s">
        <v>1814</v>
      </c>
      <c r="N358" t="s">
        <v>1814</v>
      </c>
    </row>
    <row r="359" spans="1:14">
      <c r="A359" t="s">
        <v>1815</v>
      </c>
      <c r="B359" t="s">
        <v>912</v>
      </c>
      <c r="C359" t="s">
        <v>913</v>
      </c>
      <c r="D359" t="s">
        <v>1816</v>
      </c>
      <c r="E359" t="s">
        <v>325</v>
      </c>
      <c r="F359" t="s">
        <v>1816</v>
      </c>
      <c r="G359" t="s">
        <v>1816</v>
      </c>
      <c r="H359" t="s">
        <v>431</v>
      </c>
      <c r="I359" t="s">
        <v>327</v>
      </c>
      <c r="J359" t="s">
        <v>328</v>
      </c>
      <c r="K359" t="s">
        <v>122</v>
      </c>
      <c r="L359" t="s">
        <v>329</v>
      </c>
      <c r="M359" t="s">
        <v>1817</v>
      </c>
      <c r="N359" t="s">
        <v>1817</v>
      </c>
    </row>
    <row r="360" spans="1:14">
      <c r="A360" t="s">
        <v>1818</v>
      </c>
      <c r="B360" t="s">
        <v>561</v>
      </c>
      <c r="C360" t="s">
        <v>561</v>
      </c>
      <c r="D360" t="s">
        <v>1819</v>
      </c>
      <c r="E360" t="s">
        <v>343</v>
      </c>
      <c r="F360" t="s">
        <v>1819</v>
      </c>
      <c r="G360" t="s">
        <v>1819</v>
      </c>
      <c r="H360" t="s">
        <v>306</v>
      </c>
      <c r="I360" t="s">
        <v>307</v>
      </c>
      <c r="J360" t="s">
        <v>210</v>
      </c>
      <c r="K360" t="s">
        <v>122</v>
      </c>
      <c r="L360" t="s">
        <v>327</v>
      </c>
      <c r="M360" t="s">
        <v>1820</v>
      </c>
      <c r="N360" t="s">
        <v>1820</v>
      </c>
    </row>
    <row r="361" spans="1:14">
      <c r="A361" t="s">
        <v>1821</v>
      </c>
      <c r="B361" t="s">
        <v>1822</v>
      </c>
      <c r="C361" t="s">
        <v>1823</v>
      </c>
      <c r="D361" t="s">
        <v>1824</v>
      </c>
      <c r="E361" t="s">
        <v>325</v>
      </c>
      <c r="F361" t="s">
        <v>1824</v>
      </c>
      <c r="G361" t="s">
        <v>1824</v>
      </c>
      <c r="H361" t="s">
        <v>306</v>
      </c>
      <c r="I361" t="s">
        <v>307</v>
      </c>
      <c r="J361" t="s">
        <v>357</v>
      </c>
      <c r="K361" t="s">
        <v>122</v>
      </c>
      <c r="L361" t="s">
        <v>386</v>
      </c>
      <c r="M361" t="s">
        <v>1825</v>
      </c>
      <c r="N361" t="s">
        <v>1825</v>
      </c>
    </row>
    <row r="362" spans="1:14">
      <c r="A362" t="s">
        <v>1826</v>
      </c>
      <c r="B362" t="s">
        <v>1827</v>
      </c>
      <c r="C362" t="s">
        <v>1828</v>
      </c>
      <c r="D362" t="s">
        <v>1829</v>
      </c>
      <c r="E362" t="s">
        <v>1830</v>
      </c>
      <c r="F362" t="s">
        <v>1829</v>
      </c>
      <c r="G362" t="s">
        <v>1829</v>
      </c>
      <c r="H362" t="s">
        <v>306</v>
      </c>
      <c r="I362" t="s">
        <v>307</v>
      </c>
      <c r="J362" t="s">
        <v>308</v>
      </c>
      <c r="K362" t="s">
        <v>122</v>
      </c>
      <c r="L362" t="s">
        <v>381</v>
      </c>
      <c r="M362" t="s">
        <v>1831</v>
      </c>
      <c r="N362" t="s">
        <v>1831</v>
      </c>
    </row>
    <row r="363" spans="1:14">
      <c r="A363" t="s">
        <v>1832</v>
      </c>
      <c r="B363" t="s">
        <v>415</v>
      </c>
      <c r="C363" t="s">
        <v>416</v>
      </c>
      <c r="D363" t="s">
        <v>1833</v>
      </c>
      <c r="E363" t="s">
        <v>315</v>
      </c>
      <c r="F363" t="s">
        <v>1833</v>
      </c>
      <c r="G363" t="s">
        <v>1833</v>
      </c>
      <c r="H363" t="s">
        <v>326</v>
      </c>
      <c r="I363" t="s">
        <v>327</v>
      </c>
      <c r="J363" t="s">
        <v>318</v>
      </c>
      <c r="K363" t="s">
        <v>122</v>
      </c>
      <c r="L363" t="s">
        <v>386</v>
      </c>
      <c r="M363" t="s">
        <v>1834</v>
      </c>
      <c r="N363" t="s">
        <v>1834</v>
      </c>
    </row>
    <row r="364" spans="1:14">
      <c r="A364" t="s">
        <v>1835</v>
      </c>
      <c r="B364" t="s">
        <v>667</v>
      </c>
      <c r="C364" t="s">
        <v>668</v>
      </c>
      <c r="D364" t="s">
        <v>1836</v>
      </c>
      <c r="E364" t="s">
        <v>335</v>
      </c>
      <c r="F364" t="s">
        <v>1836</v>
      </c>
      <c r="G364" t="s">
        <v>1836</v>
      </c>
      <c r="H364" t="s">
        <v>316</v>
      </c>
      <c r="I364" t="s">
        <v>317</v>
      </c>
      <c r="J364" t="s">
        <v>318</v>
      </c>
      <c r="K364" t="s">
        <v>122</v>
      </c>
      <c r="L364" t="s">
        <v>381</v>
      </c>
      <c r="M364" t="s">
        <v>1837</v>
      </c>
      <c r="N364" t="s">
        <v>1837</v>
      </c>
    </row>
    <row r="365" spans="1:14">
      <c r="A365" t="s">
        <v>1838</v>
      </c>
      <c r="B365" t="s">
        <v>1839</v>
      </c>
      <c r="C365" t="s">
        <v>1840</v>
      </c>
      <c r="D365" t="s">
        <v>1841</v>
      </c>
      <c r="E365" t="s">
        <v>305</v>
      </c>
      <c r="F365" t="s">
        <v>1841</v>
      </c>
      <c r="G365" t="s">
        <v>1841</v>
      </c>
      <c r="H365" t="s">
        <v>316</v>
      </c>
      <c r="I365" t="s">
        <v>327</v>
      </c>
      <c r="J365" t="s">
        <v>308</v>
      </c>
      <c r="K365" t="s">
        <v>122</v>
      </c>
      <c r="L365" t="s">
        <v>319</v>
      </c>
      <c r="M365" t="s">
        <v>1842</v>
      </c>
      <c r="N365" t="s">
        <v>1842</v>
      </c>
    </row>
    <row r="366" spans="1:14">
      <c r="A366" t="s">
        <v>1843</v>
      </c>
      <c r="B366" t="s">
        <v>722</v>
      </c>
      <c r="C366" t="s">
        <v>723</v>
      </c>
      <c r="D366" t="s">
        <v>1844</v>
      </c>
      <c r="E366" t="s">
        <v>343</v>
      </c>
      <c r="F366" t="s">
        <v>543</v>
      </c>
      <c r="G366" t="s">
        <v>543</v>
      </c>
      <c r="H366" t="s">
        <v>316</v>
      </c>
      <c r="I366" t="s">
        <v>531</v>
      </c>
      <c r="J366" t="s">
        <v>367</v>
      </c>
      <c r="K366" t="s">
        <v>122</v>
      </c>
      <c r="L366" t="s">
        <v>368</v>
      </c>
      <c r="M366" t="s">
        <v>1845</v>
      </c>
      <c r="N366" t="s">
        <v>1845</v>
      </c>
    </row>
    <row r="367" spans="1:14">
      <c r="A367" t="s">
        <v>1846</v>
      </c>
      <c r="B367" t="s">
        <v>743</v>
      </c>
      <c r="C367" t="s">
        <v>744</v>
      </c>
      <c r="D367" t="s">
        <v>530</v>
      </c>
      <c r="E367" t="s">
        <v>335</v>
      </c>
      <c r="F367" t="s">
        <v>530</v>
      </c>
      <c r="G367" t="s">
        <v>530</v>
      </c>
      <c r="H367" t="s">
        <v>316</v>
      </c>
      <c r="I367" t="s">
        <v>317</v>
      </c>
      <c r="J367" t="s">
        <v>424</v>
      </c>
      <c r="K367" t="s">
        <v>122</v>
      </c>
      <c r="L367" t="s">
        <v>386</v>
      </c>
      <c r="M367" t="s">
        <v>1847</v>
      </c>
      <c r="N367" t="s">
        <v>1847</v>
      </c>
    </row>
    <row r="368" spans="1:14">
      <c r="A368" t="s">
        <v>1848</v>
      </c>
      <c r="B368" t="s">
        <v>638</v>
      </c>
      <c r="C368" t="s">
        <v>639</v>
      </c>
      <c r="D368" t="s">
        <v>1849</v>
      </c>
      <c r="E368" t="s">
        <v>315</v>
      </c>
      <c r="F368" t="s">
        <v>1849</v>
      </c>
      <c r="G368" t="s">
        <v>1849</v>
      </c>
      <c r="H368" t="s">
        <v>316</v>
      </c>
      <c r="I368" t="s">
        <v>317</v>
      </c>
      <c r="J368" t="s">
        <v>308</v>
      </c>
      <c r="K368" t="s">
        <v>122</v>
      </c>
      <c r="L368" t="s">
        <v>309</v>
      </c>
      <c r="M368" t="s">
        <v>1850</v>
      </c>
      <c r="N368" t="s">
        <v>1850</v>
      </c>
    </row>
    <row r="369" spans="1:14">
      <c r="A369" t="s">
        <v>1851</v>
      </c>
      <c r="B369" t="s">
        <v>1852</v>
      </c>
      <c r="C369" t="s">
        <v>1853</v>
      </c>
      <c r="D369" t="s">
        <v>1392</v>
      </c>
      <c r="E369" t="s">
        <v>335</v>
      </c>
      <c r="F369" t="s">
        <v>1392</v>
      </c>
      <c r="G369" t="s">
        <v>1392</v>
      </c>
      <c r="H369" t="s">
        <v>316</v>
      </c>
      <c r="I369" t="s">
        <v>317</v>
      </c>
      <c r="J369" t="s">
        <v>424</v>
      </c>
      <c r="K369" t="s">
        <v>122</v>
      </c>
      <c r="L369" t="s">
        <v>451</v>
      </c>
      <c r="M369" t="s">
        <v>1854</v>
      </c>
      <c r="N369" t="s">
        <v>1854</v>
      </c>
    </row>
    <row r="370" spans="1:14">
      <c r="A370" t="s">
        <v>1855</v>
      </c>
      <c r="B370" t="s">
        <v>556</v>
      </c>
      <c r="C370" t="s">
        <v>557</v>
      </c>
      <c r="D370" t="s">
        <v>1856</v>
      </c>
      <c r="E370" t="s">
        <v>325</v>
      </c>
      <c r="F370" t="s">
        <v>1856</v>
      </c>
      <c r="G370" t="s">
        <v>1856</v>
      </c>
      <c r="H370" t="s">
        <v>306</v>
      </c>
      <c r="I370" t="s">
        <v>307</v>
      </c>
      <c r="J370" t="s">
        <v>328</v>
      </c>
      <c r="K370" t="s">
        <v>122</v>
      </c>
      <c r="L370" t="s">
        <v>329</v>
      </c>
      <c r="M370" t="s">
        <v>1857</v>
      </c>
      <c r="N370" t="s">
        <v>1857</v>
      </c>
    </row>
    <row r="371" spans="1:14">
      <c r="A371" t="s">
        <v>1858</v>
      </c>
      <c r="B371" t="s">
        <v>1859</v>
      </c>
      <c r="C371" t="s">
        <v>1860</v>
      </c>
      <c r="D371" t="s">
        <v>1861</v>
      </c>
      <c r="E371" t="s">
        <v>325</v>
      </c>
      <c r="F371" t="s">
        <v>1862</v>
      </c>
      <c r="G371" t="s">
        <v>1862</v>
      </c>
      <c r="H371" t="s">
        <v>306</v>
      </c>
      <c r="I371" t="s">
        <v>307</v>
      </c>
      <c r="J371" t="s">
        <v>357</v>
      </c>
      <c r="K371" t="s">
        <v>122</v>
      </c>
      <c r="L371" t="s">
        <v>487</v>
      </c>
      <c r="M371" t="s">
        <v>1863</v>
      </c>
      <c r="N371" t="s">
        <v>1863</v>
      </c>
    </row>
    <row r="372" spans="1:14">
      <c r="A372" t="s">
        <v>1864</v>
      </c>
      <c r="B372" t="s">
        <v>638</v>
      </c>
      <c r="C372" t="s">
        <v>639</v>
      </c>
      <c r="D372" t="s">
        <v>1865</v>
      </c>
      <c r="E372" t="s">
        <v>335</v>
      </c>
      <c r="F372" t="s">
        <v>1866</v>
      </c>
      <c r="G372" t="s">
        <v>1866</v>
      </c>
      <c r="H372" t="s">
        <v>316</v>
      </c>
      <c r="I372" t="s">
        <v>317</v>
      </c>
      <c r="J372" t="s">
        <v>424</v>
      </c>
      <c r="K372" t="s">
        <v>122</v>
      </c>
      <c r="L372" t="s">
        <v>451</v>
      </c>
      <c r="M372" t="s">
        <v>1867</v>
      </c>
      <c r="N372" t="s">
        <v>1867</v>
      </c>
    </row>
    <row r="373" spans="1:14">
      <c r="A373" t="s">
        <v>1868</v>
      </c>
      <c r="B373" t="s">
        <v>1869</v>
      </c>
      <c r="C373" t="s">
        <v>1870</v>
      </c>
      <c r="D373" t="s">
        <v>1871</v>
      </c>
      <c r="E373" t="s">
        <v>305</v>
      </c>
      <c r="F373" t="s">
        <v>1769</v>
      </c>
      <c r="G373" t="s">
        <v>1769</v>
      </c>
      <c r="H373" t="s">
        <v>316</v>
      </c>
      <c r="I373" t="s">
        <v>317</v>
      </c>
      <c r="J373" t="s">
        <v>424</v>
      </c>
      <c r="K373" t="s">
        <v>122</v>
      </c>
      <c r="L373" t="s">
        <v>498</v>
      </c>
      <c r="M373" t="s">
        <v>1872</v>
      </c>
      <c r="N373" t="s">
        <v>1872</v>
      </c>
    </row>
    <row r="374" spans="1:14">
      <c r="A374" t="s">
        <v>1873</v>
      </c>
      <c r="B374" t="s">
        <v>1869</v>
      </c>
      <c r="C374" t="s">
        <v>1870</v>
      </c>
      <c r="D374" t="s">
        <v>1874</v>
      </c>
      <c r="E374" t="s">
        <v>335</v>
      </c>
      <c r="F374" t="s">
        <v>1874</v>
      </c>
      <c r="G374" t="s">
        <v>1874</v>
      </c>
      <c r="H374" t="s">
        <v>316</v>
      </c>
      <c r="I374" t="s">
        <v>317</v>
      </c>
      <c r="J374" t="s">
        <v>424</v>
      </c>
      <c r="K374" t="s">
        <v>122</v>
      </c>
      <c r="L374" t="s">
        <v>451</v>
      </c>
      <c r="M374" t="s">
        <v>1868</v>
      </c>
      <c r="N374" t="s">
        <v>1868</v>
      </c>
    </row>
    <row r="375" spans="1:14">
      <c r="A375" t="s">
        <v>1875</v>
      </c>
      <c r="B375" t="s">
        <v>1869</v>
      </c>
      <c r="C375" t="s">
        <v>1870</v>
      </c>
      <c r="D375" t="s">
        <v>543</v>
      </c>
      <c r="E375" t="s">
        <v>364</v>
      </c>
      <c r="F375" t="s">
        <v>543</v>
      </c>
      <c r="G375" t="s">
        <v>543</v>
      </c>
      <c r="H375" t="s">
        <v>316</v>
      </c>
      <c r="I375" t="s">
        <v>317</v>
      </c>
      <c r="J375" t="s">
        <v>318</v>
      </c>
      <c r="K375" t="s">
        <v>122</v>
      </c>
      <c r="L375" t="s">
        <v>350</v>
      </c>
      <c r="M375" t="s">
        <v>1876</v>
      </c>
      <c r="N375" t="s">
        <v>1876</v>
      </c>
    </row>
    <row r="376" spans="1:14">
      <c r="A376" t="s">
        <v>1877</v>
      </c>
      <c r="B376" t="s">
        <v>590</v>
      </c>
      <c r="C376" t="s">
        <v>591</v>
      </c>
      <c r="D376" t="s">
        <v>1878</v>
      </c>
      <c r="E376" t="s">
        <v>774</v>
      </c>
      <c r="F376" t="s">
        <v>1879</v>
      </c>
      <c r="G376" t="s">
        <v>1879</v>
      </c>
      <c r="H376" t="s">
        <v>316</v>
      </c>
      <c r="I376" t="s">
        <v>317</v>
      </c>
      <c r="J376" t="s">
        <v>357</v>
      </c>
      <c r="K376" t="s">
        <v>486</v>
      </c>
      <c r="L376" t="s">
        <v>487</v>
      </c>
      <c r="M376" t="s">
        <v>1880</v>
      </c>
      <c r="N376" t="s">
        <v>1880</v>
      </c>
    </row>
    <row r="377" spans="1:14">
      <c r="A377" t="s">
        <v>1881</v>
      </c>
      <c r="B377" t="s">
        <v>1882</v>
      </c>
      <c r="C377" t="s">
        <v>1883</v>
      </c>
      <c r="D377" t="s">
        <v>1884</v>
      </c>
      <c r="E377" t="s">
        <v>364</v>
      </c>
      <c r="F377" t="s">
        <v>1885</v>
      </c>
      <c r="G377" t="s">
        <v>1885</v>
      </c>
      <c r="H377" t="s">
        <v>316</v>
      </c>
      <c r="I377" t="s">
        <v>317</v>
      </c>
      <c r="J377" t="s">
        <v>376</v>
      </c>
      <c r="K377" t="s">
        <v>122</v>
      </c>
      <c r="L377" t="s">
        <v>319</v>
      </c>
      <c r="M377" t="s">
        <v>1886</v>
      </c>
      <c r="N377" t="s">
        <v>1886</v>
      </c>
    </row>
    <row r="378" spans="1:14">
      <c r="A378" t="s">
        <v>1887</v>
      </c>
      <c r="B378" t="s">
        <v>1888</v>
      </c>
      <c r="C378" t="s">
        <v>1889</v>
      </c>
      <c r="D378" t="s">
        <v>1890</v>
      </c>
      <c r="E378" t="s">
        <v>1891</v>
      </c>
      <c r="F378" t="s">
        <v>1890</v>
      </c>
      <c r="G378" t="s">
        <v>1890</v>
      </c>
      <c r="H378" t="s">
        <v>316</v>
      </c>
      <c r="I378" t="s">
        <v>317</v>
      </c>
      <c r="J378" t="s">
        <v>318</v>
      </c>
      <c r="K378" t="s">
        <v>122</v>
      </c>
      <c r="L378" t="s">
        <v>381</v>
      </c>
      <c r="M378" t="s">
        <v>1892</v>
      </c>
      <c r="N378" t="s">
        <v>1892</v>
      </c>
    </row>
    <row r="379" spans="1:14">
      <c r="A379" t="s">
        <v>1893</v>
      </c>
      <c r="B379" t="s">
        <v>1894</v>
      </c>
      <c r="C379" t="s">
        <v>1895</v>
      </c>
      <c r="D379" t="s">
        <v>1794</v>
      </c>
      <c r="E379" t="s">
        <v>335</v>
      </c>
      <c r="F379" t="s">
        <v>1794</v>
      </c>
      <c r="G379" t="s">
        <v>1794</v>
      </c>
      <c r="H379" t="s">
        <v>316</v>
      </c>
      <c r="I379" t="s">
        <v>317</v>
      </c>
      <c r="J379" t="s">
        <v>424</v>
      </c>
      <c r="K379" t="s">
        <v>122</v>
      </c>
      <c r="L379" t="s">
        <v>498</v>
      </c>
      <c r="M379" t="s">
        <v>1892</v>
      </c>
      <c r="N379" t="s">
        <v>1892</v>
      </c>
    </row>
    <row r="380" spans="1:14">
      <c r="A380" t="s">
        <v>1896</v>
      </c>
      <c r="B380" t="s">
        <v>340</v>
      </c>
      <c r="C380" t="s">
        <v>341</v>
      </c>
      <c r="D380" t="s">
        <v>1897</v>
      </c>
      <c r="E380" t="s">
        <v>335</v>
      </c>
      <c r="F380" t="s">
        <v>1897</v>
      </c>
      <c r="G380" t="s">
        <v>1897</v>
      </c>
      <c r="H380" t="s">
        <v>316</v>
      </c>
      <c r="I380" t="s">
        <v>317</v>
      </c>
      <c r="J380" t="s">
        <v>424</v>
      </c>
      <c r="K380" t="s">
        <v>122</v>
      </c>
      <c r="L380" t="s">
        <v>386</v>
      </c>
      <c r="M380" t="s">
        <v>1898</v>
      </c>
      <c r="N380" t="s">
        <v>1898</v>
      </c>
    </row>
    <row r="381" spans="1:14">
      <c r="A381" t="s">
        <v>1899</v>
      </c>
      <c r="B381" t="s">
        <v>1900</v>
      </c>
      <c r="C381" t="s">
        <v>1901</v>
      </c>
      <c r="D381" t="s">
        <v>1902</v>
      </c>
      <c r="E381" t="s">
        <v>343</v>
      </c>
      <c r="F381" t="s">
        <v>1902</v>
      </c>
      <c r="G381" t="s">
        <v>1902</v>
      </c>
      <c r="H381" t="s">
        <v>306</v>
      </c>
      <c r="I381" t="s">
        <v>307</v>
      </c>
      <c r="J381" t="s">
        <v>424</v>
      </c>
      <c r="K381" t="s">
        <v>122</v>
      </c>
      <c r="L381" t="s">
        <v>451</v>
      </c>
      <c r="M381" t="s">
        <v>1903</v>
      </c>
      <c r="N381" t="s">
        <v>1903</v>
      </c>
    </row>
    <row r="382" spans="1:14">
      <c r="A382" t="s">
        <v>1904</v>
      </c>
      <c r="B382" t="s">
        <v>1905</v>
      </c>
      <c r="C382" t="s">
        <v>1906</v>
      </c>
      <c r="D382" t="s">
        <v>960</v>
      </c>
      <c r="E382" t="s">
        <v>343</v>
      </c>
      <c r="F382" t="s">
        <v>960</v>
      </c>
      <c r="G382" t="s">
        <v>960</v>
      </c>
      <c r="H382" t="s">
        <v>306</v>
      </c>
      <c r="I382" t="s">
        <v>307</v>
      </c>
      <c r="J382" t="s">
        <v>424</v>
      </c>
      <c r="K382" t="s">
        <v>122</v>
      </c>
      <c r="L382" t="s">
        <v>386</v>
      </c>
      <c r="M382" t="s">
        <v>1907</v>
      </c>
      <c r="N382" t="s">
        <v>1907</v>
      </c>
    </row>
    <row r="383" spans="1:14">
      <c r="A383" t="s">
        <v>1908</v>
      </c>
      <c r="B383" t="s">
        <v>1909</v>
      </c>
      <c r="C383" t="s">
        <v>1910</v>
      </c>
      <c r="D383" t="s">
        <v>1911</v>
      </c>
      <c r="E383" t="s">
        <v>574</v>
      </c>
      <c r="F383" t="s">
        <v>1911</v>
      </c>
      <c r="G383" t="s">
        <v>1911</v>
      </c>
      <c r="H383" t="s">
        <v>316</v>
      </c>
      <c r="I383" t="s">
        <v>531</v>
      </c>
      <c r="J383" t="s">
        <v>318</v>
      </c>
      <c r="K383" t="s">
        <v>122</v>
      </c>
      <c r="L383" t="s">
        <v>329</v>
      </c>
      <c r="M383" t="s">
        <v>1093</v>
      </c>
      <c r="N383" t="s">
        <v>1093</v>
      </c>
    </row>
    <row r="384" spans="1:14">
      <c r="A384" t="s">
        <v>1912</v>
      </c>
      <c r="B384" t="s">
        <v>546</v>
      </c>
      <c r="C384" t="s">
        <v>547</v>
      </c>
      <c r="D384" t="s">
        <v>782</v>
      </c>
      <c r="E384" t="s">
        <v>335</v>
      </c>
      <c r="F384" t="s">
        <v>782</v>
      </c>
      <c r="G384" t="s">
        <v>782</v>
      </c>
      <c r="H384" t="s">
        <v>316</v>
      </c>
      <c r="I384" t="s">
        <v>317</v>
      </c>
      <c r="J384" t="s">
        <v>318</v>
      </c>
      <c r="K384" t="s">
        <v>122</v>
      </c>
      <c r="L384" t="s">
        <v>381</v>
      </c>
      <c r="M384" t="s">
        <v>1913</v>
      </c>
      <c r="N384" t="s">
        <v>1913</v>
      </c>
    </row>
    <row r="385" spans="1:14">
      <c r="A385" t="s">
        <v>1914</v>
      </c>
      <c r="B385" t="s">
        <v>1915</v>
      </c>
      <c r="C385" t="s">
        <v>1916</v>
      </c>
      <c r="D385" t="s">
        <v>1119</v>
      </c>
      <c r="E385" t="s">
        <v>335</v>
      </c>
      <c r="F385" t="s">
        <v>1917</v>
      </c>
      <c r="G385" t="s">
        <v>1917</v>
      </c>
      <c r="H385" t="s">
        <v>316</v>
      </c>
      <c r="I385" t="s">
        <v>317</v>
      </c>
      <c r="J385" t="s">
        <v>318</v>
      </c>
      <c r="K385" t="s">
        <v>122</v>
      </c>
      <c r="L385" t="s">
        <v>319</v>
      </c>
      <c r="M385" t="s">
        <v>1918</v>
      </c>
      <c r="N385" t="s">
        <v>1918</v>
      </c>
    </row>
    <row r="386" spans="1:14">
      <c r="A386" t="s">
        <v>1919</v>
      </c>
      <c r="B386" t="s">
        <v>934</v>
      </c>
      <c r="C386" t="s">
        <v>935</v>
      </c>
      <c r="D386" t="s">
        <v>1920</v>
      </c>
      <c r="E386" t="s">
        <v>335</v>
      </c>
      <c r="F386" t="s">
        <v>1921</v>
      </c>
      <c r="G386" t="s">
        <v>1921</v>
      </c>
      <c r="H386" t="s">
        <v>316</v>
      </c>
      <c r="I386" t="s">
        <v>317</v>
      </c>
      <c r="J386" t="s">
        <v>318</v>
      </c>
      <c r="K386" t="s">
        <v>122</v>
      </c>
      <c r="L386" t="s">
        <v>381</v>
      </c>
      <c r="M386" t="s">
        <v>1922</v>
      </c>
      <c r="N386" t="s">
        <v>1922</v>
      </c>
    </row>
    <row r="387" spans="1:14">
      <c r="A387" t="s">
        <v>1923</v>
      </c>
      <c r="B387" t="s">
        <v>1924</v>
      </c>
      <c r="C387" t="s">
        <v>1925</v>
      </c>
      <c r="D387" t="s">
        <v>1097</v>
      </c>
      <c r="E387" t="s">
        <v>364</v>
      </c>
      <c r="F387" t="s">
        <v>1097</v>
      </c>
      <c r="G387" t="s">
        <v>1097</v>
      </c>
      <c r="H387" t="s">
        <v>316</v>
      </c>
      <c r="I387" t="s">
        <v>531</v>
      </c>
      <c r="J387" t="s">
        <v>376</v>
      </c>
      <c r="K387" t="s">
        <v>122</v>
      </c>
      <c r="L387" t="s">
        <v>350</v>
      </c>
      <c r="M387" t="s">
        <v>1926</v>
      </c>
      <c r="N387" t="s">
        <v>1926</v>
      </c>
    </row>
    <row r="388" spans="1:14">
      <c r="A388" t="s">
        <v>1927</v>
      </c>
      <c r="B388" t="s">
        <v>475</v>
      </c>
      <c r="C388" t="s">
        <v>476</v>
      </c>
      <c r="D388" t="s">
        <v>1639</v>
      </c>
      <c r="E388" t="s">
        <v>335</v>
      </c>
      <c r="F388" t="s">
        <v>1639</v>
      </c>
      <c r="G388" t="s">
        <v>1639</v>
      </c>
      <c r="H388" t="s">
        <v>316</v>
      </c>
      <c r="I388" t="s">
        <v>317</v>
      </c>
      <c r="J388" t="s">
        <v>318</v>
      </c>
      <c r="K388" t="s">
        <v>122</v>
      </c>
      <c r="L388" t="s">
        <v>358</v>
      </c>
      <c r="M388" t="s">
        <v>1928</v>
      </c>
      <c r="N388" t="s">
        <v>1928</v>
      </c>
    </row>
    <row r="389" spans="1:14">
      <c r="A389" t="s">
        <v>1929</v>
      </c>
      <c r="B389" t="s">
        <v>722</v>
      </c>
      <c r="C389" t="s">
        <v>723</v>
      </c>
      <c r="D389" t="s">
        <v>1930</v>
      </c>
      <c r="E389" t="s">
        <v>335</v>
      </c>
      <c r="F389" t="s">
        <v>1930</v>
      </c>
      <c r="G389" t="s">
        <v>1930</v>
      </c>
      <c r="H389" t="s">
        <v>316</v>
      </c>
      <c r="I389" t="s">
        <v>317</v>
      </c>
      <c r="J389" t="s">
        <v>318</v>
      </c>
      <c r="K389" t="s">
        <v>122</v>
      </c>
      <c r="L389" t="s">
        <v>368</v>
      </c>
      <c r="M389" t="s">
        <v>1928</v>
      </c>
      <c r="N389" t="s">
        <v>1928</v>
      </c>
    </row>
    <row r="390" spans="1:14">
      <c r="A390" t="s">
        <v>1931</v>
      </c>
      <c r="B390" t="s">
        <v>546</v>
      </c>
      <c r="C390" t="s">
        <v>547</v>
      </c>
      <c r="D390" t="s">
        <v>1932</v>
      </c>
      <c r="E390" t="s">
        <v>335</v>
      </c>
      <c r="F390" t="s">
        <v>1932</v>
      </c>
      <c r="G390" t="s">
        <v>1932</v>
      </c>
      <c r="H390" t="s">
        <v>316</v>
      </c>
      <c r="I390" t="s">
        <v>317</v>
      </c>
      <c r="J390" t="s">
        <v>318</v>
      </c>
      <c r="K390" t="s">
        <v>122</v>
      </c>
      <c r="L390" t="s">
        <v>605</v>
      </c>
      <c r="M390" t="s">
        <v>1933</v>
      </c>
      <c r="N390" t="s">
        <v>1933</v>
      </c>
    </row>
    <row r="391" spans="1:14">
      <c r="A391" t="s">
        <v>1934</v>
      </c>
      <c r="B391" t="s">
        <v>1935</v>
      </c>
      <c r="C391" t="s">
        <v>1936</v>
      </c>
      <c r="D391" t="s">
        <v>1131</v>
      </c>
      <c r="E391" t="s">
        <v>335</v>
      </c>
      <c r="F391" t="s">
        <v>1131</v>
      </c>
      <c r="G391" t="s">
        <v>1131</v>
      </c>
      <c r="H391" t="s">
        <v>316</v>
      </c>
      <c r="I391" t="s">
        <v>317</v>
      </c>
      <c r="J391" t="s">
        <v>308</v>
      </c>
      <c r="K391" t="s">
        <v>122</v>
      </c>
      <c r="L391" t="s">
        <v>605</v>
      </c>
      <c r="M391" t="s">
        <v>1937</v>
      </c>
      <c r="N391" t="s">
        <v>1937</v>
      </c>
    </row>
    <row r="392" spans="1:14">
      <c r="A392" t="s">
        <v>1938</v>
      </c>
      <c r="B392" t="s">
        <v>1939</v>
      </c>
      <c r="C392" t="s">
        <v>1940</v>
      </c>
      <c r="D392" t="s">
        <v>1267</v>
      </c>
      <c r="E392" t="s">
        <v>335</v>
      </c>
      <c r="F392" t="s">
        <v>1267</v>
      </c>
      <c r="G392" t="s">
        <v>1267</v>
      </c>
      <c r="H392" t="s">
        <v>316</v>
      </c>
      <c r="I392" t="s">
        <v>317</v>
      </c>
      <c r="J392" t="s">
        <v>424</v>
      </c>
      <c r="K392" t="s">
        <v>122</v>
      </c>
      <c r="L392" t="s">
        <v>451</v>
      </c>
      <c r="M392" t="s">
        <v>1941</v>
      </c>
      <c r="N392" t="s">
        <v>1941</v>
      </c>
    </row>
    <row r="393" spans="1:14">
      <c r="A393" t="s">
        <v>1942</v>
      </c>
      <c r="B393" t="s">
        <v>454</v>
      </c>
      <c r="C393" t="s">
        <v>455</v>
      </c>
      <c r="D393" t="s">
        <v>1943</v>
      </c>
      <c r="E393" t="s">
        <v>343</v>
      </c>
      <c r="F393" t="s">
        <v>1943</v>
      </c>
      <c r="G393" t="s">
        <v>1943</v>
      </c>
      <c r="H393" t="s">
        <v>316</v>
      </c>
      <c r="I393" t="s">
        <v>317</v>
      </c>
      <c r="J393" t="s">
        <v>357</v>
      </c>
      <c r="K393" t="s">
        <v>122</v>
      </c>
      <c r="L393" t="s">
        <v>386</v>
      </c>
      <c r="M393" t="s">
        <v>1944</v>
      </c>
      <c r="N393" t="s">
        <v>1944</v>
      </c>
    </row>
    <row r="394" spans="1:14">
      <c r="A394" t="s">
        <v>1945</v>
      </c>
      <c r="B394" t="s">
        <v>983</v>
      </c>
      <c r="C394" t="s">
        <v>984</v>
      </c>
      <c r="D394" t="s">
        <v>1946</v>
      </c>
      <c r="E394" t="s">
        <v>325</v>
      </c>
      <c r="F394" t="s">
        <v>1946</v>
      </c>
      <c r="G394" t="s">
        <v>1946</v>
      </c>
      <c r="H394" t="s">
        <v>306</v>
      </c>
      <c r="I394" t="s">
        <v>366</v>
      </c>
      <c r="J394" t="s">
        <v>328</v>
      </c>
      <c r="K394" t="s">
        <v>122</v>
      </c>
      <c r="L394" t="s">
        <v>329</v>
      </c>
      <c r="M394" t="s">
        <v>1947</v>
      </c>
      <c r="N394" t="s">
        <v>1947</v>
      </c>
    </row>
    <row r="395" spans="1:14">
      <c r="A395" t="s">
        <v>1948</v>
      </c>
      <c r="B395" t="s">
        <v>1949</v>
      </c>
      <c r="C395" t="s">
        <v>1950</v>
      </c>
      <c r="D395" t="s">
        <v>1951</v>
      </c>
      <c r="E395" t="s">
        <v>447</v>
      </c>
      <c r="F395" t="s">
        <v>1951</v>
      </c>
      <c r="G395" t="s">
        <v>1951</v>
      </c>
      <c r="H395" t="s">
        <v>326</v>
      </c>
      <c r="I395" t="s">
        <v>327</v>
      </c>
      <c r="J395" t="s">
        <v>424</v>
      </c>
      <c r="K395" t="s">
        <v>122</v>
      </c>
      <c r="L395" t="s">
        <v>451</v>
      </c>
      <c r="M395" t="s">
        <v>1952</v>
      </c>
      <c r="N395" t="s">
        <v>1952</v>
      </c>
    </row>
    <row r="396" spans="1:14">
      <c r="A396" t="s">
        <v>1953</v>
      </c>
      <c r="B396" t="s">
        <v>434</v>
      </c>
      <c r="C396" t="s">
        <v>435</v>
      </c>
      <c r="D396" t="s">
        <v>1524</v>
      </c>
      <c r="E396" t="s">
        <v>335</v>
      </c>
      <c r="F396" t="s">
        <v>1524</v>
      </c>
      <c r="G396" t="s">
        <v>1524</v>
      </c>
      <c r="H396" t="s">
        <v>316</v>
      </c>
      <c r="I396" t="s">
        <v>327</v>
      </c>
      <c r="J396" t="s">
        <v>318</v>
      </c>
      <c r="K396" t="s">
        <v>122</v>
      </c>
      <c r="L396" t="s">
        <v>358</v>
      </c>
      <c r="M396" t="s">
        <v>1954</v>
      </c>
      <c r="N396" t="s">
        <v>1954</v>
      </c>
    </row>
    <row r="397" spans="1:14">
      <c r="A397" t="s">
        <v>1955</v>
      </c>
      <c r="B397" t="s">
        <v>546</v>
      </c>
      <c r="C397" t="s">
        <v>547</v>
      </c>
      <c r="D397" t="s">
        <v>1070</v>
      </c>
      <c r="E397" t="s">
        <v>315</v>
      </c>
      <c r="F397" t="s">
        <v>1070</v>
      </c>
      <c r="G397" t="s">
        <v>1070</v>
      </c>
      <c r="H397" t="s">
        <v>431</v>
      </c>
      <c r="I397" t="s">
        <v>327</v>
      </c>
      <c r="J397" t="s">
        <v>418</v>
      </c>
      <c r="K397" t="s">
        <v>122</v>
      </c>
      <c r="L397" t="s">
        <v>386</v>
      </c>
      <c r="M397" t="s">
        <v>1956</v>
      </c>
      <c r="N397" t="s">
        <v>1956</v>
      </c>
    </row>
    <row r="398" spans="1:14">
      <c r="A398" t="s">
        <v>1957</v>
      </c>
      <c r="B398" t="s">
        <v>667</v>
      </c>
      <c r="C398" t="s">
        <v>668</v>
      </c>
      <c r="D398" t="s">
        <v>1958</v>
      </c>
      <c r="E398" t="s">
        <v>335</v>
      </c>
      <c r="F398" t="s">
        <v>1958</v>
      </c>
      <c r="G398" t="s">
        <v>1958</v>
      </c>
      <c r="H398" t="s">
        <v>316</v>
      </c>
      <c r="I398" t="s">
        <v>317</v>
      </c>
      <c r="J398" t="s">
        <v>318</v>
      </c>
      <c r="K398" t="s">
        <v>122</v>
      </c>
      <c r="L398" t="s">
        <v>605</v>
      </c>
      <c r="M398" t="s">
        <v>1837</v>
      </c>
      <c r="N398" t="s">
        <v>1837</v>
      </c>
    </row>
    <row r="399" spans="1:14">
      <c r="A399" t="s">
        <v>1959</v>
      </c>
      <c r="B399" t="s">
        <v>469</v>
      </c>
      <c r="C399" t="s">
        <v>470</v>
      </c>
      <c r="D399" t="s">
        <v>1960</v>
      </c>
      <c r="E399" t="s">
        <v>325</v>
      </c>
      <c r="F399" t="s">
        <v>1960</v>
      </c>
      <c r="G399" t="s">
        <v>1960</v>
      </c>
      <c r="H399" t="s">
        <v>306</v>
      </c>
      <c r="I399" t="s">
        <v>307</v>
      </c>
      <c r="J399" t="s">
        <v>328</v>
      </c>
      <c r="K399" t="s">
        <v>122</v>
      </c>
      <c r="L399" t="s">
        <v>329</v>
      </c>
      <c r="M399" t="s">
        <v>119</v>
      </c>
      <c r="N399" t="s">
        <v>119</v>
      </c>
    </row>
    <row r="400" spans="1:14">
      <c r="A400" t="s">
        <v>1961</v>
      </c>
      <c r="B400" t="s">
        <v>712</v>
      </c>
      <c r="C400" t="s">
        <v>713</v>
      </c>
      <c r="D400" t="s">
        <v>1962</v>
      </c>
      <c r="E400" t="s">
        <v>325</v>
      </c>
      <c r="F400" t="s">
        <v>1962</v>
      </c>
      <c r="G400" t="s">
        <v>1962</v>
      </c>
      <c r="H400" t="s">
        <v>306</v>
      </c>
      <c r="I400" t="s">
        <v>307</v>
      </c>
      <c r="J400" t="s">
        <v>357</v>
      </c>
      <c r="K400" t="s">
        <v>122</v>
      </c>
      <c r="L400" t="s">
        <v>487</v>
      </c>
      <c r="M400" t="s">
        <v>1963</v>
      </c>
      <c r="N400" t="s">
        <v>1963</v>
      </c>
    </row>
    <row r="401" spans="1:14">
      <c r="A401" t="s">
        <v>1964</v>
      </c>
      <c r="B401" t="s">
        <v>434</v>
      </c>
      <c r="C401" t="s">
        <v>435</v>
      </c>
      <c r="D401" t="s">
        <v>1965</v>
      </c>
      <c r="E401" t="s">
        <v>325</v>
      </c>
      <c r="F401" t="s">
        <v>1965</v>
      </c>
      <c r="G401" t="s">
        <v>1965</v>
      </c>
      <c r="H401" t="s">
        <v>306</v>
      </c>
      <c r="I401" t="s">
        <v>307</v>
      </c>
      <c r="J401" t="s">
        <v>357</v>
      </c>
      <c r="K401" t="s">
        <v>486</v>
      </c>
      <c r="L401" t="s">
        <v>487</v>
      </c>
      <c r="M401" t="s">
        <v>1966</v>
      </c>
      <c r="N401" t="s">
        <v>1966</v>
      </c>
    </row>
    <row r="402" spans="1:14">
      <c r="A402" t="s">
        <v>1967</v>
      </c>
      <c r="B402" t="s">
        <v>1968</v>
      </c>
      <c r="C402" t="s">
        <v>1969</v>
      </c>
      <c r="D402" t="s">
        <v>1970</v>
      </c>
      <c r="E402" t="s">
        <v>325</v>
      </c>
      <c r="F402" t="s">
        <v>1970</v>
      </c>
      <c r="G402" t="s">
        <v>1970</v>
      </c>
      <c r="H402" t="s">
        <v>306</v>
      </c>
      <c r="I402" t="s">
        <v>307</v>
      </c>
      <c r="J402" t="s">
        <v>328</v>
      </c>
      <c r="K402" t="s">
        <v>122</v>
      </c>
      <c r="L402" t="s">
        <v>329</v>
      </c>
      <c r="M402" t="s">
        <v>1971</v>
      </c>
      <c r="N402" t="s">
        <v>1971</v>
      </c>
    </row>
    <row r="403" spans="1:14">
      <c r="A403" t="s">
        <v>1972</v>
      </c>
      <c r="B403" t="s">
        <v>1973</v>
      </c>
      <c r="C403" t="s">
        <v>1974</v>
      </c>
      <c r="D403" t="s">
        <v>436</v>
      </c>
      <c r="E403" t="s">
        <v>774</v>
      </c>
      <c r="F403" t="s">
        <v>1975</v>
      </c>
      <c r="G403" t="s">
        <v>1975</v>
      </c>
      <c r="H403" t="s">
        <v>431</v>
      </c>
      <c r="I403" t="s">
        <v>327</v>
      </c>
      <c r="J403" t="s">
        <v>357</v>
      </c>
      <c r="K403" t="s">
        <v>122</v>
      </c>
      <c r="L403" t="s">
        <v>487</v>
      </c>
      <c r="M403" t="s">
        <v>1976</v>
      </c>
      <c r="N403" t="s">
        <v>1976</v>
      </c>
    </row>
    <row r="404" spans="1:14">
      <c r="A404" t="s">
        <v>1977</v>
      </c>
      <c r="B404" t="s">
        <v>939</v>
      </c>
      <c r="C404" t="s">
        <v>940</v>
      </c>
      <c r="D404" t="s">
        <v>1978</v>
      </c>
      <c r="E404" t="s">
        <v>325</v>
      </c>
      <c r="F404" t="s">
        <v>1979</v>
      </c>
      <c r="G404" t="s">
        <v>1979</v>
      </c>
      <c r="H404" t="s">
        <v>431</v>
      </c>
      <c r="I404" t="s">
        <v>327</v>
      </c>
      <c r="J404" t="s">
        <v>357</v>
      </c>
      <c r="K404" t="s">
        <v>486</v>
      </c>
      <c r="L404" t="s">
        <v>487</v>
      </c>
      <c r="M404" t="s">
        <v>1980</v>
      </c>
      <c r="N404" t="s">
        <v>1980</v>
      </c>
    </row>
    <row r="405" spans="1:14">
      <c r="A405" t="s">
        <v>1981</v>
      </c>
      <c r="B405" t="s">
        <v>1982</v>
      </c>
      <c r="C405" t="s">
        <v>1983</v>
      </c>
      <c r="D405" t="s">
        <v>1328</v>
      </c>
      <c r="E405" t="s">
        <v>343</v>
      </c>
      <c r="F405" t="s">
        <v>1984</v>
      </c>
      <c r="G405" t="s">
        <v>1984</v>
      </c>
      <c r="H405" t="s">
        <v>306</v>
      </c>
      <c r="I405" t="s">
        <v>307</v>
      </c>
      <c r="J405" t="s">
        <v>424</v>
      </c>
      <c r="K405" t="s">
        <v>122</v>
      </c>
      <c r="L405" t="s">
        <v>350</v>
      </c>
      <c r="M405" t="s">
        <v>1985</v>
      </c>
      <c r="N405" t="s">
        <v>1985</v>
      </c>
    </row>
    <row r="406" spans="1:14">
      <c r="A406" t="s">
        <v>1986</v>
      </c>
      <c r="B406" t="s">
        <v>1987</v>
      </c>
      <c r="C406" t="s">
        <v>1988</v>
      </c>
      <c r="D406" t="s">
        <v>1989</v>
      </c>
      <c r="E406" t="s">
        <v>325</v>
      </c>
      <c r="F406" t="s">
        <v>1989</v>
      </c>
      <c r="G406" t="s">
        <v>1989</v>
      </c>
      <c r="H406" t="s">
        <v>431</v>
      </c>
      <c r="I406" t="s">
        <v>327</v>
      </c>
      <c r="J406" t="s">
        <v>357</v>
      </c>
      <c r="K406" t="s">
        <v>486</v>
      </c>
      <c r="L406" t="s">
        <v>487</v>
      </c>
      <c r="M406" t="s">
        <v>1990</v>
      </c>
      <c r="N406" t="s">
        <v>1990</v>
      </c>
    </row>
    <row r="407" spans="1:14">
      <c r="A407" t="s">
        <v>1991</v>
      </c>
      <c r="B407" t="s">
        <v>1992</v>
      </c>
      <c r="C407" t="s">
        <v>1993</v>
      </c>
      <c r="D407" t="s">
        <v>1994</v>
      </c>
      <c r="E407" t="s">
        <v>1210</v>
      </c>
      <c r="F407" t="s">
        <v>1994</v>
      </c>
      <c r="G407" t="s">
        <v>1994</v>
      </c>
      <c r="H407" t="s">
        <v>431</v>
      </c>
      <c r="I407" t="s">
        <v>327</v>
      </c>
      <c r="J407" t="s">
        <v>357</v>
      </c>
      <c r="K407" t="s">
        <v>122</v>
      </c>
      <c r="L407" t="s">
        <v>451</v>
      </c>
      <c r="M407" t="s">
        <v>1995</v>
      </c>
      <c r="N407" t="s">
        <v>1995</v>
      </c>
    </row>
    <row r="408" spans="1:14">
      <c r="A408" t="s">
        <v>1996</v>
      </c>
      <c r="B408" t="s">
        <v>1997</v>
      </c>
      <c r="C408" t="s">
        <v>1998</v>
      </c>
      <c r="D408" t="s">
        <v>1999</v>
      </c>
      <c r="E408" t="s">
        <v>325</v>
      </c>
      <c r="F408" t="s">
        <v>1999</v>
      </c>
      <c r="G408" t="s">
        <v>1999</v>
      </c>
      <c r="H408" t="s">
        <v>306</v>
      </c>
      <c r="I408" t="s">
        <v>307</v>
      </c>
      <c r="J408" t="s">
        <v>357</v>
      </c>
      <c r="K408" t="s">
        <v>122</v>
      </c>
      <c r="L408" t="s">
        <v>386</v>
      </c>
      <c r="M408" t="s">
        <v>2000</v>
      </c>
      <c r="N408" t="s">
        <v>2000</v>
      </c>
    </row>
    <row r="409" spans="1:14">
      <c r="A409" t="s">
        <v>2001</v>
      </c>
      <c r="B409" t="s">
        <v>490</v>
      </c>
      <c r="C409" t="s">
        <v>491</v>
      </c>
      <c r="D409" t="s">
        <v>2002</v>
      </c>
      <c r="E409" t="s">
        <v>325</v>
      </c>
      <c r="F409" t="s">
        <v>2002</v>
      </c>
      <c r="G409" t="s">
        <v>2002</v>
      </c>
      <c r="H409" t="s">
        <v>431</v>
      </c>
      <c r="I409" t="s">
        <v>327</v>
      </c>
      <c r="J409" t="s">
        <v>357</v>
      </c>
      <c r="K409" t="s">
        <v>122</v>
      </c>
      <c r="L409" t="s">
        <v>487</v>
      </c>
      <c r="M409" t="s">
        <v>2003</v>
      </c>
      <c r="N409" t="s">
        <v>2003</v>
      </c>
    </row>
    <row r="410" spans="1:14">
      <c r="A410" t="s">
        <v>2004</v>
      </c>
      <c r="B410" t="s">
        <v>672</v>
      </c>
      <c r="C410" t="s">
        <v>673</v>
      </c>
      <c r="D410" t="s">
        <v>991</v>
      </c>
      <c r="E410" t="s">
        <v>325</v>
      </c>
      <c r="F410" t="s">
        <v>991</v>
      </c>
      <c r="G410" t="s">
        <v>991</v>
      </c>
      <c r="H410" t="s">
        <v>431</v>
      </c>
      <c r="I410" t="s">
        <v>327</v>
      </c>
      <c r="J410" t="s">
        <v>424</v>
      </c>
      <c r="K410" t="s">
        <v>122</v>
      </c>
      <c r="L410" t="s">
        <v>386</v>
      </c>
      <c r="M410" t="s">
        <v>2005</v>
      </c>
      <c r="N410" t="s">
        <v>2005</v>
      </c>
    </row>
    <row r="411" spans="1:14">
      <c r="A411" t="s">
        <v>2006</v>
      </c>
      <c r="B411" t="s">
        <v>469</v>
      </c>
      <c r="C411" t="s">
        <v>470</v>
      </c>
      <c r="D411" t="s">
        <v>2007</v>
      </c>
      <c r="E411" t="s">
        <v>325</v>
      </c>
      <c r="F411" t="s">
        <v>2007</v>
      </c>
      <c r="G411" t="s">
        <v>2007</v>
      </c>
      <c r="H411" t="s">
        <v>306</v>
      </c>
      <c r="I411" t="s">
        <v>307</v>
      </c>
      <c r="J411" t="s">
        <v>328</v>
      </c>
      <c r="K411" t="s">
        <v>122</v>
      </c>
      <c r="L411" t="s">
        <v>329</v>
      </c>
      <c r="M411" t="s">
        <v>2008</v>
      </c>
      <c r="N411" t="s">
        <v>2008</v>
      </c>
    </row>
    <row r="412" spans="1:14">
      <c r="A412" t="s">
        <v>2009</v>
      </c>
      <c r="B412" t="s">
        <v>2010</v>
      </c>
      <c r="C412" t="s">
        <v>2011</v>
      </c>
      <c r="D412" t="s">
        <v>2012</v>
      </c>
      <c r="E412" t="s">
        <v>325</v>
      </c>
      <c r="F412" t="s">
        <v>2012</v>
      </c>
      <c r="G412" t="s">
        <v>2012</v>
      </c>
      <c r="H412" t="s">
        <v>306</v>
      </c>
      <c r="I412" t="s">
        <v>307</v>
      </c>
      <c r="J412" t="s">
        <v>328</v>
      </c>
      <c r="K412" t="s">
        <v>122</v>
      </c>
      <c r="L412" t="s">
        <v>329</v>
      </c>
      <c r="M412" t="s">
        <v>2013</v>
      </c>
      <c r="N412" t="s">
        <v>2013</v>
      </c>
    </row>
    <row r="413" spans="1:14">
      <c r="A413" t="s">
        <v>2014</v>
      </c>
      <c r="B413" t="s">
        <v>2015</v>
      </c>
      <c r="C413" t="s">
        <v>2016</v>
      </c>
      <c r="D413" t="s">
        <v>558</v>
      </c>
      <c r="E413" t="s">
        <v>335</v>
      </c>
      <c r="F413" t="s">
        <v>2017</v>
      </c>
      <c r="G413" t="s">
        <v>2017</v>
      </c>
      <c r="H413" t="s">
        <v>431</v>
      </c>
      <c r="I413" t="s">
        <v>327</v>
      </c>
      <c r="J413" t="s">
        <v>318</v>
      </c>
      <c r="K413" t="s">
        <v>122</v>
      </c>
      <c r="L413" t="s">
        <v>368</v>
      </c>
      <c r="M413" t="s">
        <v>2018</v>
      </c>
      <c r="N413" t="s">
        <v>2018</v>
      </c>
    </row>
    <row r="414" spans="1:14">
      <c r="A414" t="s">
        <v>2019</v>
      </c>
      <c r="B414" t="s">
        <v>434</v>
      </c>
      <c r="C414" t="s">
        <v>435</v>
      </c>
      <c r="D414" t="s">
        <v>1031</v>
      </c>
      <c r="E414" t="s">
        <v>325</v>
      </c>
      <c r="F414" t="s">
        <v>375</v>
      </c>
      <c r="G414" t="s">
        <v>375</v>
      </c>
      <c r="H414" t="s">
        <v>431</v>
      </c>
      <c r="I414" t="s">
        <v>327</v>
      </c>
      <c r="J414" t="s">
        <v>357</v>
      </c>
      <c r="K414" t="s">
        <v>122</v>
      </c>
      <c r="L414" t="s">
        <v>498</v>
      </c>
      <c r="M414" t="s">
        <v>2020</v>
      </c>
      <c r="N414" t="s">
        <v>2020</v>
      </c>
    </row>
    <row r="415" spans="1:14">
      <c r="A415" t="s">
        <v>2021</v>
      </c>
      <c r="B415" t="s">
        <v>454</v>
      </c>
      <c r="C415" t="s">
        <v>455</v>
      </c>
      <c r="D415" t="s">
        <v>2022</v>
      </c>
      <c r="E415" t="s">
        <v>325</v>
      </c>
      <c r="F415" t="s">
        <v>2022</v>
      </c>
      <c r="G415" t="s">
        <v>2022</v>
      </c>
      <c r="H415" t="s">
        <v>306</v>
      </c>
      <c r="I415" t="s">
        <v>307</v>
      </c>
      <c r="J415" t="s">
        <v>357</v>
      </c>
      <c r="K415" t="s">
        <v>122</v>
      </c>
      <c r="L415" t="s">
        <v>498</v>
      </c>
      <c r="M415" t="s">
        <v>2023</v>
      </c>
      <c r="N415" t="s">
        <v>2023</v>
      </c>
    </row>
    <row r="416" spans="1:14">
      <c r="A416" t="s">
        <v>2024</v>
      </c>
      <c r="B416" t="s">
        <v>2025</v>
      </c>
      <c r="C416" t="s">
        <v>2026</v>
      </c>
      <c r="D416" t="s">
        <v>2027</v>
      </c>
      <c r="E416" t="s">
        <v>343</v>
      </c>
      <c r="F416" t="s">
        <v>2027</v>
      </c>
      <c r="G416" t="s">
        <v>2027</v>
      </c>
      <c r="H416" t="s">
        <v>306</v>
      </c>
      <c r="I416" t="s">
        <v>307</v>
      </c>
      <c r="J416" t="s">
        <v>210</v>
      </c>
      <c r="K416" t="s">
        <v>122</v>
      </c>
      <c r="L416" t="s">
        <v>344</v>
      </c>
      <c r="M416" t="s">
        <v>2028</v>
      </c>
      <c r="N416" t="s">
        <v>2028</v>
      </c>
    </row>
    <row r="417" spans="1:14">
      <c r="A417" t="s">
        <v>2029</v>
      </c>
      <c r="B417" t="s">
        <v>780</v>
      </c>
      <c r="C417" t="s">
        <v>781</v>
      </c>
      <c r="D417" t="s">
        <v>2030</v>
      </c>
      <c r="E417" t="s">
        <v>343</v>
      </c>
      <c r="F417" t="s">
        <v>2030</v>
      </c>
      <c r="G417" t="s">
        <v>2030</v>
      </c>
      <c r="H417" t="s">
        <v>306</v>
      </c>
      <c r="I417" t="s">
        <v>612</v>
      </c>
      <c r="J417" t="s">
        <v>210</v>
      </c>
      <c r="K417" t="s">
        <v>122</v>
      </c>
      <c r="L417" t="s">
        <v>350</v>
      </c>
      <c r="M417" t="s">
        <v>2031</v>
      </c>
      <c r="N417" t="s">
        <v>2031</v>
      </c>
    </row>
    <row r="418" spans="1:14">
      <c r="A418" t="s">
        <v>2032</v>
      </c>
      <c r="B418" t="s">
        <v>722</v>
      </c>
      <c r="C418" t="s">
        <v>723</v>
      </c>
      <c r="D418" t="s">
        <v>808</v>
      </c>
      <c r="E418" t="s">
        <v>335</v>
      </c>
      <c r="F418" t="s">
        <v>808</v>
      </c>
      <c r="G418" t="s">
        <v>808</v>
      </c>
      <c r="H418" t="s">
        <v>316</v>
      </c>
      <c r="I418" t="s">
        <v>317</v>
      </c>
      <c r="J418" t="s">
        <v>210</v>
      </c>
      <c r="K418" t="s">
        <v>122</v>
      </c>
      <c r="L418" t="s">
        <v>350</v>
      </c>
      <c r="M418" t="s">
        <v>2033</v>
      </c>
      <c r="N418" t="s">
        <v>2033</v>
      </c>
    </row>
    <row r="419" spans="1:14">
      <c r="A419" t="s">
        <v>2034</v>
      </c>
      <c r="B419" t="s">
        <v>1388</v>
      </c>
      <c r="C419" t="s">
        <v>1389</v>
      </c>
      <c r="D419" t="s">
        <v>808</v>
      </c>
      <c r="E419" t="s">
        <v>335</v>
      </c>
      <c r="F419" t="s">
        <v>808</v>
      </c>
      <c r="G419" t="s">
        <v>808</v>
      </c>
      <c r="H419" t="s">
        <v>316</v>
      </c>
      <c r="I419" t="s">
        <v>317</v>
      </c>
      <c r="J419" t="s">
        <v>210</v>
      </c>
      <c r="K419" t="s">
        <v>122</v>
      </c>
      <c r="L419" t="s">
        <v>350</v>
      </c>
      <c r="M419" t="s">
        <v>2035</v>
      </c>
      <c r="N419" t="s">
        <v>2035</v>
      </c>
    </row>
    <row r="420" spans="1:14">
      <c r="A420" t="s">
        <v>2036</v>
      </c>
      <c r="B420" t="s">
        <v>2037</v>
      </c>
      <c r="C420" t="s">
        <v>2038</v>
      </c>
      <c r="D420" t="s">
        <v>2039</v>
      </c>
      <c r="E420" t="s">
        <v>343</v>
      </c>
      <c r="F420" t="s">
        <v>2039</v>
      </c>
      <c r="G420" t="s">
        <v>2039</v>
      </c>
      <c r="H420" t="s">
        <v>306</v>
      </c>
      <c r="I420" t="s">
        <v>307</v>
      </c>
      <c r="J420" t="s">
        <v>210</v>
      </c>
      <c r="K420" t="s">
        <v>122</v>
      </c>
      <c r="L420" t="s">
        <v>350</v>
      </c>
      <c r="M420" t="s">
        <v>2040</v>
      </c>
      <c r="N420" t="s">
        <v>2040</v>
      </c>
    </row>
    <row r="421" spans="1:14">
      <c r="A421" t="s">
        <v>2041</v>
      </c>
      <c r="B421" t="s">
        <v>712</v>
      </c>
      <c r="C421" t="s">
        <v>713</v>
      </c>
      <c r="D421" t="s">
        <v>1275</v>
      </c>
      <c r="E421" t="s">
        <v>343</v>
      </c>
      <c r="F421" t="s">
        <v>1275</v>
      </c>
      <c r="G421" t="s">
        <v>1275</v>
      </c>
      <c r="H421" t="s">
        <v>306</v>
      </c>
      <c r="I421" t="s">
        <v>612</v>
      </c>
      <c r="J421" t="s">
        <v>210</v>
      </c>
      <c r="K421" t="s">
        <v>122</v>
      </c>
      <c r="L421" t="s">
        <v>350</v>
      </c>
      <c r="M421" t="s">
        <v>2042</v>
      </c>
      <c r="N421" t="s">
        <v>2042</v>
      </c>
    </row>
    <row r="422" spans="1:14">
      <c r="A422" t="s">
        <v>2043</v>
      </c>
      <c r="B422" t="s">
        <v>2044</v>
      </c>
      <c r="C422" t="s">
        <v>2045</v>
      </c>
      <c r="D422" t="s">
        <v>1349</v>
      </c>
      <c r="E422" t="s">
        <v>343</v>
      </c>
      <c r="F422" t="s">
        <v>1349</v>
      </c>
      <c r="G422" t="s">
        <v>1349</v>
      </c>
      <c r="H422" t="s">
        <v>306</v>
      </c>
      <c r="I422" t="s">
        <v>612</v>
      </c>
      <c r="J422" t="s">
        <v>210</v>
      </c>
      <c r="K422" t="s">
        <v>122</v>
      </c>
      <c r="L422" t="s">
        <v>350</v>
      </c>
      <c r="M422" t="s">
        <v>2046</v>
      </c>
      <c r="N422" t="s">
        <v>2046</v>
      </c>
    </row>
    <row r="423" spans="1:14">
      <c r="A423" t="s">
        <v>2047</v>
      </c>
      <c r="B423" t="s">
        <v>712</v>
      </c>
      <c r="C423" t="s">
        <v>713</v>
      </c>
      <c r="D423" t="s">
        <v>2030</v>
      </c>
      <c r="E423" t="s">
        <v>335</v>
      </c>
      <c r="F423" t="s">
        <v>2030</v>
      </c>
      <c r="G423" t="s">
        <v>2030</v>
      </c>
      <c r="H423" t="s">
        <v>306</v>
      </c>
      <c r="I423" t="s">
        <v>612</v>
      </c>
      <c r="J423" t="s">
        <v>210</v>
      </c>
      <c r="K423" t="s">
        <v>122</v>
      </c>
      <c r="L423" t="s">
        <v>350</v>
      </c>
      <c r="M423" t="s">
        <v>2048</v>
      </c>
      <c r="N423" t="s">
        <v>2048</v>
      </c>
    </row>
    <row r="424" spans="1:14">
      <c r="A424" t="s">
        <v>2049</v>
      </c>
      <c r="B424" t="s">
        <v>2050</v>
      </c>
      <c r="C424" t="s">
        <v>2051</v>
      </c>
      <c r="D424" t="s">
        <v>687</v>
      </c>
      <c r="E424" t="s">
        <v>480</v>
      </c>
      <c r="F424" t="s">
        <v>687</v>
      </c>
      <c r="G424" t="s">
        <v>687</v>
      </c>
      <c r="H424" t="s">
        <v>306</v>
      </c>
      <c r="I424" t="s">
        <v>307</v>
      </c>
      <c r="J424" t="s">
        <v>210</v>
      </c>
      <c r="K424" t="s">
        <v>122</v>
      </c>
      <c r="L424" t="s">
        <v>368</v>
      </c>
      <c r="M424" t="s">
        <v>2052</v>
      </c>
      <c r="N424" t="s">
        <v>2052</v>
      </c>
    </row>
    <row r="425" spans="1:14">
      <c r="A425" t="s">
        <v>2053</v>
      </c>
      <c r="B425" t="s">
        <v>712</v>
      </c>
      <c r="C425" t="s">
        <v>713</v>
      </c>
      <c r="D425" t="s">
        <v>1392</v>
      </c>
      <c r="E425" t="s">
        <v>343</v>
      </c>
      <c r="F425" t="s">
        <v>1392</v>
      </c>
      <c r="G425" t="s">
        <v>1392</v>
      </c>
      <c r="H425" t="s">
        <v>306</v>
      </c>
      <c r="I425" t="s">
        <v>307</v>
      </c>
      <c r="J425" t="s">
        <v>210</v>
      </c>
      <c r="K425" t="s">
        <v>122</v>
      </c>
      <c r="L425" t="s">
        <v>344</v>
      </c>
      <c r="M425" t="s">
        <v>2054</v>
      </c>
      <c r="N425" t="s">
        <v>2054</v>
      </c>
    </row>
    <row r="426" spans="1:14">
      <c r="A426" t="s">
        <v>2055</v>
      </c>
      <c r="B426" t="s">
        <v>454</v>
      </c>
      <c r="C426" t="s">
        <v>455</v>
      </c>
      <c r="D426" t="s">
        <v>2056</v>
      </c>
      <c r="E426" t="s">
        <v>343</v>
      </c>
      <c r="F426" t="s">
        <v>2056</v>
      </c>
      <c r="G426" t="s">
        <v>2056</v>
      </c>
      <c r="H426" t="s">
        <v>306</v>
      </c>
      <c r="I426" t="s">
        <v>307</v>
      </c>
      <c r="J426" t="s">
        <v>210</v>
      </c>
      <c r="K426" t="s">
        <v>122</v>
      </c>
      <c r="L426" t="s">
        <v>350</v>
      </c>
      <c r="M426" t="s">
        <v>2057</v>
      </c>
      <c r="N426" t="s">
        <v>2057</v>
      </c>
    </row>
    <row r="427" spans="1:14">
      <c r="A427" t="s">
        <v>2058</v>
      </c>
      <c r="B427" t="s">
        <v>302</v>
      </c>
      <c r="C427" t="s">
        <v>2059</v>
      </c>
      <c r="D427" t="s">
        <v>2060</v>
      </c>
      <c r="E427" t="s">
        <v>343</v>
      </c>
      <c r="F427" t="s">
        <v>2060</v>
      </c>
      <c r="G427" t="s">
        <v>2060</v>
      </c>
      <c r="H427" t="s">
        <v>306</v>
      </c>
      <c r="I427" t="s">
        <v>612</v>
      </c>
      <c r="J427" t="s">
        <v>210</v>
      </c>
      <c r="K427" t="s">
        <v>122</v>
      </c>
      <c r="L427" t="s">
        <v>350</v>
      </c>
      <c r="M427" t="s">
        <v>2061</v>
      </c>
      <c r="N427" t="s">
        <v>2061</v>
      </c>
    </row>
    <row r="428" spans="1:14">
      <c r="A428" t="s">
        <v>2062</v>
      </c>
      <c r="B428" t="s">
        <v>785</v>
      </c>
      <c r="C428" t="s">
        <v>786</v>
      </c>
      <c r="D428" t="s">
        <v>2063</v>
      </c>
      <c r="E428" t="s">
        <v>343</v>
      </c>
      <c r="F428" t="s">
        <v>2063</v>
      </c>
      <c r="G428" t="s">
        <v>2063</v>
      </c>
      <c r="H428" t="s">
        <v>306</v>
      </c>
      <c r="I428" t="s">
        <v>612</v>
      </c>
      <c r="J428" t="s">
        <v>210</v>
      </c>
      <c r="K428" t="s">
        <v>122</v>
      </c>
      <c r="L428" t="s">
        <v>350</v>
      </c>
      <c r="M428" t="s">
        <v>2064</v>
      </c>
      <c r="N428" t="s">
        <v>2064</v>
      </c>
    </row>
    <row r="429" spans="1:14">
      <c r="A429" t="s">
        <v>2065</v>
      </c>
      <c r="B429" t="s">
        <v>1388</v>
      </c>
      <c r="C429" t="s">
        <v>1389</v>
      </c>
      <c r="D429" t="s">
        <v>2066</v>
      </c>
      <c r="E429" t="s">
        <v>343</v>
      </c>
      <c r="F429" t="s">
        <v>2066</v>
      </c>
      <c r="G429" t="s">
        <v>2066</v>
      </c>
      <c r="H429" t="s">
        <v>306</v>
      </c>
      <c r="I429" t="s">
        <v>612</v>
      </c>
      <c r="J429" t="s">
        <v>210</v>
      </c>
      <c r="K429" t="s">
        <v>122</v>
      </c>
      <c r="L429" t="s">
        <v>350</v>
      </c>
      <c r="M429" t="s">
        <v>2067</v>
      </c>
      <c r="N429" t="s">
        <v>2067</v>
      </c>
    </row>
    <row r="430" spans="1:14">
      <c r="A430" t="s">
        <v>2068</v>
      </c>
      <c r="B430" t="s">
        <v>2069</v>
      </c>
      <c r="C430" t="s">
        <v>2070</v>
      </c>
      <c r="D430" t="s">
        <v>687</v>
      </c>
      <c r="E430" t="s">
        <v>315</v>
      </c>
      <c r="F430" t="s">
        <v>687</v>
      </c>
      <c r="G430" t="s">
        <v>687</v>
      </c>
      <c r="H430" t="s">
        <v>316</v>
      </c>
      <c r="I430" t="s">
        <v>317</v>
      </c>
      <c r="J430" t="s">
        <v>210</v>
      </c>
      <c r="K430" t="s">
        <v>122</v>
      </c>
      <c r="L430" t="s">
        <v>350</v>
      </c>
      <c r="M430" t="s">
        <v>2071</v>
      </c>
      <c r="N430" t="s">
        <v>2071</v>
      </c>
    </row>
    <row r="431" spans="1:14">
      <c r="A431" t="s">
        <v>2072</v>
      </c>
      <c r="B431" t="s">
        <v>2073</v>
      </c>
      <c r="C431" t="s">
        <v>2074</v>
      </c>
      <c r="D431" t="s">
        <v>2075</v>
      </c>
      <c r="E431" t="s">
        <v>447</v>
      </c>
      <c r="F431" t="s">
        <v>2075</v>
      </c>
      <c r="G431" t="s">
        <v>2075</v>
      </c>
      <c r="H431" t="s">
        <v>306</v>
      </c>
      <c r="I431" t="s">
        <v>307</v>
      </c>
      <c r="J431" t="s">
        <v>210</v>
      </c>
      <c r="K431" t="s">
        <v>122</v>
      </c>
      <c r="L431" t="s">
        <v>1018</v>
      </c>
      <c r="M431" t="s">
        <v>2076</v>
      </c>
      <c r="N431" t="s">
        <v>2076</v>
      </c>
    </row>
    <row r="432" spans="1:14">
      <c r="A432" t="s">
        <v>2077</v>
      </c>
      <c r="B432" t="s">
        <v>454</v>
      </c>
      <c r="C432" t="s">
        <v>455</v>
      </c>
      <c r="D432" t="s">
        <v>1267</v>
      </c>
      <c r="E432" t="s">
        <v>343</v>
      </c>
      <c r="F432" t="s">
        <v>1806</v>
      </c>
      <c r="G432" t="s">
        <v>1806</v>
      </c>
      <c r="H432" t="s">
        <v>306</v>
      </c>
      <c r="I432" t="s">
        <v>307</v>
      </c>
      <c r="J432" t="s">
        <v>210</v>
      </c>
      <c r="K432" t="s">
        <v>122</v>
      </c>
      <c r="L432" t="s">
        <v>344</v>
      </c>
      <c r="M432" t="s">
        <v>2078</v>
      </c>
      <c r="N432" t="s">
        <v>2078</v>
      </c>
    </row>
    <row r="433" spans="1:14">
      <c r="A433" t="s">
        <v>2079</v>
      </c>
      <c r="B433" t="s">
        <v>2080</v>
      </c>
      <c r="C433" t="s">
        <v>2081</v>
      </c>
      <c r="D433" t="s">
        <v>2082</v>
      </c>
      <c r="E433" t="s">
        <v>343</v>
      </c>
      <c r="F433" t="s">
        <v>2082</v>
      </c>
      <c r="G433" t="s">
        <v>2082</v>
      </c>
      <c r="H433" t="s">
        <v>306</v>
      </c>
      <c r="I433" t="s">
        <v>307</v>
      </c>
      <c r="J433" t="s">
        <v>210</v>
      </c>
      <c r="K433" t="s">
        <v>122</v>
      </c>
      <c r="L433" t="s">
        <v>344</v>
      </c>
      <c r="M433" t="s">
        <v>2083</v>
      </c>
      <c r="N433" t="s">
        <v>2083</v>
      </c>
    </row>
    <row r="434" spans="1:14">
      <c r="A434" t="s">
        <v>2084</v>
      </c>
      <c r="B434" t="s">
        <v>2085</v>
      </c>
      <c r="C434" t="s">
        <v>2086</v>
      </c>
      <c r="D434" t="s">
        <v>2087</v>
      </c>
      <c r="E434" t="s">
        <v>343</v>
      </c>
      <c r="F434" t="s">
        <v>2087</v>
      </c>
      <c r="G434" t="s">
        <v>2087</v>
      </c>
      <c r="H434" t="s">
        <v>306</v>
      </c>
      <c r="I434" t="s">
        <v>612</v>
      </c>
      <c r="J434" t="s">
        <v>210</v>
      </c>
      <c r="K434" t="s">
        <v>122</v>
      </c>
      <c r="L434" t="s">
        <v>350</v>
      </c>
      <c r="M434" t="s">
        <v>2088</v>
      </c>
      <c r="N434" t="s">
        <v>2088</v>
      </c>
    </row>
    <row r="435" spans="1:14">
      <c r="A435" t="s">
        <v>2089</v>
      </c>
      <c r="B435" t="s">
        <v>571</v>
      </c>
      <c r="C435" t="s">
        <v>572</v>
      </c>
      <c r="D435" t="s">
        <v>2090</v>
      </c>
      <c r="E435" t="s">
        <v>315</v>
      </c>
      <c r="F435" t="s">
        <v>2090</v>
      </c>
      <c r="G435" t="s">
        <v>2090</v>
      </c>
      <c r="H435" t="s">
        <v>306</v>
      </c>
      <c r="I435" t="s">
        <v>612</v>
      </c>
      <c r="J435" t="s">
        <v>210</v>
      </c>
      <c r="K435" t="s">
        <v>122</v>
      </c>
      <c r="L435" t="s">
        <v>368</v>
      </c>
      <c r="M435" t="s">
        <v>2091</v>
      </c>
      <c r="N435" t="s">
        <v>2091</v>
      </c>
    </row>
    <row r="436" spans="1:14">
      <c r="A436" t="s">
        <v>2092</v>
      </c>
      <c r="B436" t="s">
        <v>901</v>
      </c>
      <c r="C436" t="s">
        <v>902</v>
      </c>
      <c r="D436" t="s">
        <v>808</v>
      </c>
      <c r="E436" t="s">
        <v>343</v>
      </c>
      <c r="F436" t="s">
        <v>808</v>
      </c>
      <c r="G436" t="s">
        <v>808</v>
      </c>
      <c r="H436" t="s">
        <v>306</v>
      </c>
      <c r="I436" t="s">
        <v>612</v>
      </c>
      <c r="J436" t="s">
        <v>210</v>
      </c>
      <c r="K436" t="s">
        <v>122</v>
      </c>
      <c r="L436" t="s">
        <v>344</v>
      </c>
      <c r="M436" t="s">
        <v>2093</v>
      </c>
      <c r="N436" t="s">
        <v>2093</v>
      </c>
    </row>
    <row r="437" spans="1:14">
      <c r="A437" t="s">
        <v>2094</v>
      </c>
      <c r="B437" t="s">
        <v>681</v>
      </c>
      <c r="C437" t="s">
        <v>2095</v>
      </c>
      <c r="D437" t="s">
        <v>1718</v>
      </c>
      <c r="E437" t="s">
        <v>343</v>
      </c>
      <c r="F437" t="s">
        <v>1718</v>
      </c>
      <c r="G437" t="s">
        <v>1718</v>
      </c>
      <c r="H437" t="s">
        <v>326</v>
      </c>
      <c r="I437" t="s">
        <v>327</v>
      </c>
      <c r="J437" t="s">
        <v>210</v>
      </c>
      <c r="K437" t="s">
        <v>122</v>
      </c>
      <c r="L437" t="s">
        <v>368</v>
      </c>
      <c r="M437" t="s">
        <v>1484</v>
      </c>
      <c r="N437" t="s">
        <v>1484</v>
      </c>
    </row>
    <row r="438" spans="1:14">
      <c r="A438" t="s">
        <v>2096</v>
      </c>
      <c r="B438" t="s">
        <v>712</v>
      </c>
      <c r="C438" t="s">
        <v>713</v>
      </c>
      <c r="D438" t="s">
        <v>1418</v>
      </c>
      <c r="E438" t="s">
        <v>343</v>
      </c>
      <c r="F438" t="s">
        <v>1418</v>
      </c>
      <c r="G438" t="s">
        <v>1418</v>
      </c>
      <c r="H438" t="s">
        <v>306</v>
      </c>
      <c r="I438" t="s">
        <v>307</v>
      </c>
      <c r="J438" t="s">
        <v>210</v>
      </c>
      <c r="K438" t="s">
        <v>122</v>
      </c>
      <c r="L438" t="s">
        <v>344</v>
      </c>
      <c r="M438" t="s">
        <v>2097</v>
      </c>
      <c r="N438" t="s">
        <v>2097</v>
      </c>
    </row>
    <row r="439" spans="1:14">
      <c r="A439" t="s">
        <v>2098</v>
      </c>
      <c r="B439" t="s">
        <v>2037</v>
      </c>
      <c r="C439" t="s">
        <v>2099</v>
      </c>
      <c r="D439" t="s">
        <v>2100</v>
      </c>
      <c r="E439" t="s">
        <v>343</v>
      </c>
      <c r="F439" t="s">
        <v>2100</v>
      </c>
      <c r="G439" t="s">
        <v>2100</v>
      </c>
      <c r="H439" t="s">
        <v>306</v>
      </c>
      <c r="I439" t="s">
        <v>307</v>
      </c>
      <c r="J439" t="s">
        <v>210</v>
      </c>
      <c r="K439" t="s">
        <v>122</v>
      </c>
      <c r="L439" t="s">
        <v>344</v>
      </c>
      <c r="M439" t="s">
        <v>2101</v>
      </c>
      <c r="N439" t="s">
        <v>2101</v>
      </c>
    </row>
    <row r="440" spans="1:14">
      <c r="A440" t="s">
        <v>2102</v>
      </c>
      <c r="B440" t="s">
        <v>2103</v>
      </c>
      <c r="C440" t="s">
        <v>2104</v>
      </c>
      <c r="D440" t="s">
        <v>1564</v>
      </c>
      <c r="E440" t="s">
        <v>343</v>
      </c>
      <c r="F440" t="s">
        <v>1564</v>
      </c>
      <c r="G440" t="s">
        <v>1564</v>
      </c>
      <c r="H440" t="s">
        <v>306</v>
      </c>
      <c r="I440" t="s">
        <v>307</v>
      </c>
      <c r="J440" t="s">
        <v>210</v>
      </c>
      <c r="K440" t="s">
        <v>122</v>
      </c>
      <c r="L440" t="s">
        <v>344</v>
      </c>
      <c r="M440" t="s">
        <v>2105</v>
      </c>
      <c r="N440" t="s">
        <v>2105</v>
      </c>
    </row>
    <row r="441" spans="1:14">
      <c r="A441" t="s">
        <v>2106</v>
      </c>
      <c r="B441" t="s">
        <v>2107</v>
      </c>
      <c r="C441" t="s">
        <v>2108</v>
      </c>
      <c r="D441" t="s">
        <v>2109</v>
      </c>
      <c r="E441" t="s">
        <v>343</v>
      </c>
      <c r="F441" t="s">
        <v>2109</v>
      </c>
      <c r="G441" t="s">
        <v>2109</v>
      </c>
      <c r="H441" t="s">
        <v>306</v>
      </c>
      <c r="I441" t="s">
        <v>307</v>
      </c>
      <c r="J441" t="s">
        <v>210</v>
      </c>
      <c r="K441" t="s">
        <v>122</v>
      </c>
      <c r="L441" t="s">
        <v>344</v>
      </c>
      <c r="M441" t="s">
        <v>2110</v>
      </c>
      <c r="N441" t="s">
        <v>2110</v>
      </c>
    </row>
    <row r="442" spans="1:14">
      <c r="A442" t="s">
        <v>2111</v>
      </c>
      <c r="B442" t="s">
        <v>712</v>
      </c>
      <c r="C442" t="s">
        <v>713</v>
      </c>
      <c r="D442" t="s">
        <v>1392</v>
      </c>
      <c r="E442" t="s">
        <v>343</v>
      </c>
      <c r="F442" t="s">
        <v>1392</v>
      </c>
      <c r="G442" t="s">
        <v>1392</v>
      </c>
      <c r="H442" t="s">
        <v>306</v>
      </c>
      <c r="I442" t="s">
        <v>307</v>
      </c>
      <c r="J442" t="s">
        <v>210</v>
      </c>
      <c r="K442" t="s">
        <v>122</v>
      </c>
      <c r="L442" t="s">
        <v>344</v>
      </c>
      <c r="M442" t="s">
        <v>2112</v>
      </c>
      <c r="N442" t="s">
        <v>2112</v>
      </c>
    </row>
    <row r="443" spans="1:14">
      <c r="A443" t="s">
        <v>2113</v>
      </c>
      <c r="B443" t="s">
        <v>2114</v>
      </c>
      <c r="C443" t="s">
        <v>2115</v>
      </c>
      <c r="D443" t="s">
        <v>2116</v>
      </c>
      <c r="E443" t="s">
        <v>343</v>
      </c>
      <c r="F443" t="s">
        <v>2116</v>
      </c>
      <c r="G443" t="s">
        <v>2116</v>
      </c>
      <c r="H443" t="s">
        <v>306</v>
      </c>
      <c r="I443" t="s">
        <v>612</v>
      </c>
      <c r="J443" t="s">
        <v>210</v>
      </c>
      <c r="K443" t="s">
        <v>122</v>
      </c>
      <c r="L443" t="s">
        <v>350</v>
      </c>
      <c r="M443" t="s">
        <v>2117</v>
      </c>
      <c r="N443" t="s">
        <v>2117</v>
      </c>
    </row>
    <row r="444" spans="1:14">
      <c r="A444" t="s">
        <v>2118</v>
      </c>
      <c r="B444" t="s">
        <v>2037</v>
      </c>
      <c r="C444" t="s">
        <v>2119</v>
      </c>
      <c r="D444" t="s">
        <v>2120</v>
      </c>
      <c r="E444" t="s">
        <v>343</v>
      </c>
      <c r="F444" t="s">
        <v>2120</v>
      </c>
      <c r="G444" t="s">
        <v>2120</v>
      </c>
      <c r="H444" t="s">
        <v>306</v>
      </c>
      <c r="I444" t="s">
        <v>612</v>
      </c>
      <c r="J444" t="s">
        <v>210</v>
      </c>
      <c r="K444" t="s">
        <v>122</v>
      </c>
      <c r="L444" t="s">
        <v>344</v>
      </c>
      <c r="M444" t="s">
        <v>2121</v>
      </c>
      <c r="N444" t="s">
        <v>2121</v>
      </c>
    </row>
    <row r="445" spans="1:14">
      <c r="A445" t="s">
        <v>2122</v>
      </c>
      <c r="B445" t="s">
        <v>2114</v>
      </c>
      <c r="C445" t="s">
        <v>2115</v>
      </c>
      <c r="D445" t="s">
        <v>1413</v>
      </c>
      <c r="E445" t="s">
        <v>343</v>
      </c>
      <c r="F445" t="s">
        <v>1413</v>
      </c>
      <c r="G445" t="s">
        <v>1413</v>
      </c>
      <c r="H445" t="s">
        <v>306</v>
      </c>
      <c r="I445" t="s">
        <v>612</v>
      </c>
      <c r="J445" t="s">
        <v>210</v>
      </c>
      <c r="K445" t="s">
        <v>122</v>
      </c>
      <c r="L445" t="s">
        <v>344</v>
      </c>
      <c r="M445" t="s">
        <v>2123</v>
      </c>
      <c r="N445" t="s">
        <v>2123</v>
      </c>
    </row>
    <row r="446" spans="1:14">
      <c r="A446" t="s">
        <v>2124</v>
      </c>
      <c r="B446" t="s">
        <v>712</v>
      </c>
      <c r="C446" t="s">
        <v>713</v>
      </c>
      <c r="D446" t="s">
        <v>2125</v>
      </c>
      <c r="E446" t="s">
        <v>343</v>
      </c>
      <c r="F446" t="s">
        <v>2125</v>
      </c>
      <c r="G446" t="s">
        <v>2125</v>
      </c>
      <c r="H446" t="s">
        <v>306</v>
      </c>
      <c r="I446" t="s">
        <v>307</v>
      </c>
      <c r="J446" t="s">
        <v>210</v>
      </c>
      <c r="K446" t="s">
        <v>122</v>
      </c>
      <c r="L446" t="s">
        <v>350</v>
      </c>
      <c r="M446" t="s">
        <v>2126</v>
      </c>
      <c r="N446" t="s">
        <v>2126</v>
      </c>
    </row>
    <row r="447" spans="1:14">
      <c r="A447" t="s">
        <v>2127</v>
      </c>
      <c r="B447" t="s">
        <v>1792</v>
      </c>
      <c r="C447" t="s">
        <v>2128</v>
      </c>
      <c r="D447" t="s">
        <v>1227</v>
      </c>
      <c r="E447" t="s">
        <v>335</v>
      </c>
      <c r="F447" t="s">
        <v>1227</v>
      </c>
      <c r="G447" t="s">
        <v>1227</v>
      </c>
      <c r="H447" t="s">
        <v>306</v>
      </c>
      <c r="I447" t="s">
        <v>307</v>
      </c>
      <c r="J447" t="s">
        <v>210</v>
      </c>
      <c r="K447" t="s">
        <v>122</v>
      </c>
      <c r="L447" t="s">
        <v>350</v>
      </c>
      <c r="M447" t="s">
        <v>2129</v>
      </c>
      <c r="N447" t="s">
        <v>2129</v>
      </c>
    </row>
    <row r="448" spans="1:14">
      <c r="A448" t="s">
        <v>2130</v>
      </c>
      <c r="B448" t="s">
        <v>2037</v>
      </c>
      <c r="C448" t="s">
        <v>2131</v>
      </c>
      <c r="D448" t="s">
        <v>2132</v>
      </c>
      <c r="E448" t="s">
        <v>343</v>
      </c>
      <c r="F448" t="s">
        <v>2132</v>
      </c>
      <c r="G448" t="s">
        <v>2132</v>
      </c>
      <c r="H448" t="s">
        <v>306</v>
      </c>
      <c r="I448" t="s">
        <v>612</v>
      </c>
      <c r="J448" t="s">
        <v>210</v>
      </c>
      <c r="K448" t="s">
        <v>122</v>
      </c>
      <c r="L448" t="s">
        <v>350</v>
      </c>
      <c r="M448" t="s">
        <v>2133</v>
      </c>
      <c r="N448" t="s">
        <v>2133</v>
      </c>
    </row>
    <row r="449" spans="1:14">
      <c r="A449" t="s">
        <v>2134</v>
      </c>
      <c r="B449" t="s">
        <v>722</v>
      </c>
      <c r="C449" t="s">
        <v>723</v>
      </c>
      <c r="D449" t="s">
        <v>2135</v>
      </c>
      <c r="E449" t="s">
        <v>343</v>
      </c>
      <c r="F449" t="s">
        <v>2135</v>
      </c>
      <c r="G449" t="s">
        <v>2135</v>
      </c>
      <c r="H449" t="s">
        <v>306</v>
      </c>
      <c r="I449" t="s">
        <v>307</v>
      </c>
      <c r="J449" t="s">
        <v>210</v>
      </c>
      <c r="K449" t="s">
        <v>122</v>
      </c>
      <c r="L449" t="s">
        <v>350</v>
      </c>
      <c r="M449" t="s">
        <v>2136</v>
      </c>
      <c r="N449" t="s">
        <v>2136</v>
      </c>
    </row>
    <row r="450" spans="1:14">
      <c r="A450" t="s">
        <v>2137</v>
      </c>
      <c r="B450" t="s">
        <v>712</v>
      </c>
      <c r="C450" t="s">
        <v>713</v>
      </c>
      <c r="D450" t="s">
        <v>2082</v>
      </c>
      <c r="E450" t="s">
        <v>343</v>
      </c>
      <c r="F450" t="s">
        <v>2082</v>
      </c>
      <c r="G450" t="s">
        <v>2082</v>
      </c>
      <c r="H450" t="s">
        <v>306</v>
      </c>
      <c r="I450" t="s">
        <v>307</v>
      </c>
      <c r="J450" t="s">
        <v>210</v>
      </c>
      <c r="K450" t="s">
        <v>122</v>
      </c>
      <c r="L450" t="s">
        <v>344</v>
      </c>
      <c r="M450" t="s">
        <v>2138</v>
      </c>
      <c r="N450" t="s">
        <v>2138</v>
      </c>
    </row>
    <row r="451" spans="1:14">
      <c r="A451" t="s">
        <v>2139</v>
      </c>
      <c r="B451" t="s">
        <v>556</v>
      </c>
      <c r="C451" t="s">
        <v>557</v>
      </c>
      <c r="D451" t="s">
        <v>2140</v>
      </c>
      <c r="E451" t="s">
        <v>343</v>
      </c>
      <c r="F451" t="s">
        <v>2140</v>
      </c>
      <c r="G451" t="s">
        <v>2140</v>
      </c>
      <c r="H451" t="s">
        <v>306</v>
      </c>
      <c r="I451" t="s">
        <v>307</v>
      </c>
      <c r="J451" t="s">
        <v>210</v>
      </c>
      <c r="K451" t="s">
        <v>122</v>
      </c>
      <c r="L451" t="s">
        <v>344</v>
      </c>
      <c r="M451" t="s">
        <v>2141</v>
      </c>
      <c r="N451" t="s">
        <v>2141</v>
      </c>
    </row>
    <row r="452" spans="1:14">
      <c r="A452" t="s">
        <v>2142</v>
      </c>
      <c r="B452" t="s">
        <v>454</v>
      </c>
      <c r="C452" t="s">
        <v>455</v>
      </c>
      <c r="D452" t="s">
        <v>2143</v>
      </c>
      <c r="E452" t="s">
        <v>343</v>
      </c>
      <c r="F452" t="s">
        <v>2143</v>
      </c>
      <c r="G452" t="s">
        <v>2143</v>
      </c>
      <c r="H452" t="s">
        <v>306</v>
      </c>
      <c r="I452" t="s">
        <v>612</v>
      </c>
      <c r="J452" t="s">
        <v>210</v>
      </c>
      <c r="K452" t="s">
        <v>122</v>
      </c>
      <c r="L452" t="s">
        <v>350</v>
      </c>
      <c r="M452" t="s">
        <v>2144</v>
      </c>
      <c r="N452" t="s">
        <v>2144</v>
      </c>
    </row>
    <row r="453" spans="1:14">
      <c r="A453" t="s">
        <v>2145</v>
      </c>
      <c r="B453" t="s">
        <v>759</v>
      </c>
      <c r="C453" t="s">
        <v>760</v>
      </c>
      <c r="D453" t="s">
        <v>2146</v>
      </c>
      <c r="E453" t="s">
        <v>343</v>
      </c>
      <c r="F453" t="s">
        <v>2146</v>
      </c>
      <c r="G453" t="s">
        <v>2146</v>
      </c>
      <c r="H453" t="s">
        <v>306</v>
      </c>
      <c r="I453" t="s">
        <v>307</v>
      </c>
      <c r="J453" t="s">
        <v>210</v>
      </c>
      <c r="K453" t="s">
        <v>122</v>
      </c>
      <c r="L453" t="s">
        <v>350</v>
      </c>
      <c r="M453" t="s">
        <v>2147</v>
      </c>
      <c r="N453" t="s">
        <v>2147</v>
      </c>
    </row>
    <row r="454" spans="1:14">
      <c r="A454" t="s">
        <v>2148</v>
      </c>
      <c r="B454" t="s">
        <v>2149</v>
      </c>
      <c r="C454" t="s">
        <v>2150</v>
      </c>
      <c r="D454" t="s">
        <v>599</v>
      </c>
      <c r="E454" t="s">
        <v>315</v>
      </c>
      <c r="F454" t="s">
        <v>599</v>
      </c>
      <c r="G454" t="s">
        <v>599</v>
      </c>
      <c r="H454" t="s">
        <v>306</v>
      </c>
      <c r="I454" t="s">
        <v>307</v>
      </c>
      <c r="J454" t="s">
        <v>210</v>
      </c>
      <c r="K454" t="s">
        <v>122</v>
      </c>
      <c r="L454" t="s">
        <v>368</v>
      </c>
      <c r="M454" t="s">
        <v>2151</v>
      </c>
      <c r="N454" t="s">
        <v>2151</v>
      </c>
    </row>
    <row r="455" spans="1:14">
      <c r="A455" t="s">
        <v>2152</v>
      </c>
      <c r="B455" t="s">
        <v>2153</v>
      </c>
      <c r="C455" t="s">
        <v>2154</v>
      </c>
      <c r="D455" t="s">
        <v>2135</v>
      </c>
      <c r="E455" t="s">
        <v>343</v>
      </c>
      <c r="F455" t="s">
        <v>2135</v>
      </c>
      <c r="G455" t="s">
        <v>2135</v>
      </c>
      <c r="H455" t="s">
        <v>306</v>
      </c>
      <c r="I455" t="s">
        <v>307</v>
      </c>
      <c r="J455" t="s">
        <v>210</v>
      </c>
      <c r="K455" t="s">
        <v>122</v>
      </c>
      <c r="L455" t="s">
        <v>350</v>
      </c>
      <c r="M455" t="s">
        <v>2155</v>
      </c>
      <c r="N455" t="s">
        <v>2155</v>
      </c>
    </row>
    <row r="456" spans="1:14">
      <c r="A456" t="s">
        <v>2156</v>
      </c>
      <c r="B456" t="s">
        <v>571</v>
      </c>
      <c r="C456" t="s">
        <v>572</v>
      </c>
      <c r="D456" t="s">
        <v>2157</v>
      </c>
      <c r="E456" t="s">
        <v>343</v>
      </c>
      <c r="F456" t="s">
        <v>2157</v>
      </c>
      <c r="G456" t="s">
        <v>2157</v>
      </c>
      <c r="H456" t="s">
        <v>306</v>
      </c>
      <c r="I456" t="s">
        <v>612</v>
      </c>
      <c r="J456" t="s">
        <v>210</v>
      </c>
      <c r="K456" t="s">
        <v>122</v>
      </c>
      <c r="L456" t="s">
        <v>350</v>
      </c>
      <c r="M456" t="s">
        <v>2158</v>
      </c>
      <c r="N456" t="s">
        <v>2158</v>
      </c>
    </row>
    <row r="457" spans="1:14">
      <c r="A457" t="s">
        <v>2159</v>
      </c>
      <c r="B457" t="s">
        <v>2160</v>
      </c>
      <c r="C457" t="s">
        <v>2161</v>
      </c>
      <c r="D457" t="s">
        <v>2162</v>
      </c>
      <c r="E457" t="s">
        <v>343</v>
      </c>
      <c r="F457" t="s">
        <v>2162</v>
      </c>
      <c r="G457" t="s">
        <v>2162</v>
      </c>
      <c r="H457" t="s">
        <v>306</v>
      </c>
      <c r="I457" t="s">
        <v>307</v>
      </c>
      <c r="J457" t="s">
        <v>210</v>
      </c>
      <c r="K457" t="s">
        <v>122</v>
      </c>
      <c r="L457" t="s">
        <v>350</v>
      </c>
      <c r="M457" t="s">
        <v>2163</v>
      </c>
      <c r="N457" t="s">
        <v>2163</v>
      </c>
    </row>
    <row r="458" spans="1:14">
      <c r="A458" t="s">
        <v>2164</v>
      </c>
      <c r="B458" t="s">
        <v>2037</v>
      </c>
      <c r="C458" t="s">
        <v>2165</v>
      </c>
      <c r="D458" t="s">
        <v>2166</v>
      </c>
      <c r="E458" t="s">
        <v>343</v>
      </c>
      <c r="F458" t="s">
        <v>2166</v>
      </c>
      <c r="G458" t="s">
        <v>2166</v>
      </c>
      <c r="H458" t="s">
        <v>306</v>
      </c>
      <c r="I458" t="s">
        <v>307</v>
      </c>
      <c r="J458" t="s">
        <v>210</v>
      </c>
      <c r="K458" t="s">
        <v>122</v>
      </c>
      <c r="L458" t="s">
        <v>350</v>
      </c>
      <c r="M458" t="s">
        <v>2167</v>
      </c>
      <c r="N458" t="s">
        <v>2167</v>
      </c>
    </row>
    <row r="459" spans="1:14">
      <c r="A459" t="s">
        <v>2168</v>
      </c>
      <c r="B459" t="s">
        <v>759</v>
      </c>
      <c r="C459" t="s">
        <v>760</v>
      </c>
      <c r="D459" t="s">
        <v>542</v>
      </c>
      <c r="E459" t="s">
        <v>343</v>
      </c>
      <c r="F459" t="s">
        <v>542</v>
      </c>
      <c r="G459" t="s">
        <v>542</v>
      </c>
      <c r="H459" t="s">
        <v>306</v>
      </c>
      <c r="I459" t="s">
        <v>307</v>
      </c>
      <c r="J459" t="s">
        <v>210</v>
      </c>
      <c r="K459" t="s">
        <v>122</v>
      </c>
      <c r="L459" t="s">
        <v>350</v>
      </c>
      <c r="M459" t="s">
        <v>2169</v>
      </c>
      <c r="N459" t="s">
        <v>2169</v>
      </c>
    </row>
    <row r="460" spans="1:14">
      <c r="A460" t="s">
        <v>2170</v>
      </c>
      <c r="B460" t="s">
        <v>540</v>
      </c>
      <c r="C460" t="s">
        <v>541</v>
      </c>
      <c r="D460" t="s">
        <v>2171</v>
      </c>
      <c r="E460" t="s">
        <v>343</v>
      </c>
      <c r="F460" t="s">
        <v>2171</v>
      </c>
      <c r="G460" t="s">
        <v>2171</v>
      </c>
      <c r="H460" t="s">
        <v>306</v>
      </c>
      <c r="I460" t="s">
        <v>307</v>
      </c>
      <c r="J460" t="s">
        <v>210</v>
      </c>
      <c r="K460" t="s">
        <v>122</v>
      </c>
      <c r="L460" t="s">
        <v>350</v>
      </c>
      <c r="M460" t="s">
        <v>2172</v>
      </c>
      <c r="N460" t="s">
        <v>2172</v>
      </c>
    </row>
    <row r="461" spans="1:14">
      <c r="A461" t="s">
        <v>2173</v>
      </c>
      <c r="B461" t="s">
        <v>2037</v>
      </c>
      <c r="C461" t="s">
        <v>2174</v>
      </c>
      <c r="D461" t="s">
        <v>1349</v>
      </c>
      <c r="E461" t="s">
        <v>343</v>
      </c>
      <c r="F461" t="s">
        <v>2175</v>
      </c>
      <c r="G461" t="s">
        <v>2175</v>
      </c>
      <c r="H461" t="s">
        <v>306</v>
      </c>
      <c r="I461" t="s">
        <v>612</v>
      </c>
      <c r="J461" t="s">
        <v>210</v>
      </c>
      <c r="K461" t="s">
        <v>122</v>
      </c>
      <c r="L461" t="s">
        <v>350</v>
      </c>
      <c r="M461" t="s">
        <v>2176</v>
      </c>
      <c r="N461" t="s">
        <v>2176</v>
      </c>
    </row>
    <row r="462" spans="1:14">
      <c r="A462" t="s">
        <v>2177</v>
      </c>
      <c r="B462" t="s">
        <v>712</v>
      </c>
      <c r="C462" t="s">
        <v>713</v>
      </c>
      <c r="D462" t="s">
        <v>2178</v>
      </c>
      <c r="E462" t="s">
        <v>343</v>
      </c>
      <c r="F462" t="s">
        <v>2178</v>
      </c>
      <c r="G462" t="s">
        <v>2178</v>
      </c>
      <c r="H462" t="s">
        <v>306</v>
      </c>
      <c r="I462" t="s">
        <v>307</v>
      </c>
      <c r="J462" t="s">
        <v>210</v>
      </c>
      <c r="K462" t="s">
        <v>122</v>
      </c>
      <c r="L462" t="s">
        <v>350</v>
      </c>
      <c r="M462" t="s">
        <v>2179</v>
      </c>
      <c r="N462" t="s">
        <v>2179</v>
      </c>
    </row>
    <row r="463" spans="1:14">
      <c r="A463" t="s">
        <v>2180</v>
      </c>
      <c r="B463" t="s">
        <v>2181</v>
      </c>
      <c r="C463" t="s">
        <v>2182</v>
      </c>
      <c r="D463" t="s">
        <v>2183</v>
      </c>
      <c r="E463" t="s">
        <v>343</v>
      </c>
      <c r="F463" t="s">
        <v>2183</v>
      </c>
      <c r="G463" t="s">
        <v>2183</v>
      </c>
      <c r="H463" t="s">
        <v>306</v>
      </c>
      <c r="I463" t="s">
        <v>307</v>
      </c>
      <c r="J463" t="s">
        <v>210</v>
      </c>
      <c r="K463" t="s">
        <v>122</v>
      </c>
      <c r="L463" t="s">
        <v>350</v>
      </c>
      <c r="M463" t="s">
        <v>2184</v>
      </c>
      <c r="N463" t="s">
        <v>2184</v>
      </c>
    </row>
    <row r="464" spans="1:14">
      <c r="A464" t="s">
        <v>2185</v>
      </c>
      <c r="B464" t="s">
        <v>712</v>
      </c>
      <c r="C464" t="s">
        <v>713</v>
      </c>
      <c r="D464" t="s">
        <v>2186</v>
      </c>
      <c r="E464" t="s">
        <v>343</v>
      </c>
      <c r="F464" t="s">
        <v>2186</v>
      </c>
      <c r="G464" t="s">
        <v>2186</v>
      </c>
      <c r="H464" t="s">
        <v>306</v>
      </c>
      <c r="I464" t="s">
        <v>307</v>
      </c>
      <c r="J464" t="s">
        <v>210</v>
      </c>
      <c r="K464" t="s">
        <v>122</v>
      </c>
      <c r="L464" t="s">
        <v>350</v>
      </c>
      <c r="M464" t="s">
        <v>2187</v>
      </c>
      <c r="N464" t="s">
        <v>2187</v>
      </c>
    </row>
    <row r="465" spans="1:14">
      <c r="A465" t="s">
        <v>2188</v>
      </c>
      <c r="B465" t="s">
        <v>2037</v>
      </c>
      <c r="C465" t="s">
        <v>2189</v>
      </c>
      <c r="D465" t="s">
        <v>2082</v>
      </c>
      <c r="E465" t="s">
        <v>343</v>
      </c>
      <c r="F465" t="s">
        <v>2082</v>
      </c>
      <c r="G465" t="s">
        <v>2082</v>
      </c>
      <c r="H465" t="s">
        <v>306</v>
      </c>
      <c r="I465" t="s">
        <v>307</v>
      </c>
      <c r="J465" t="s">
        <v>210</v>
      </c>
      <c r="K465" t="s">
        <v>122</v>
      </c>
      <c r="L465" t="s">
        <v>350</v>
      </c>
      <c r="M465" t="s">
        <v>2190</v>
      </c>
      <c r="N465" t="s">
        <v>2190</v>
      </c>
    </row>
    <row r="466" spans="1:14">
      <c r="A466" t="s">
        <v>2191</v>
      </c>
      <c r="B466" t="s">
        <v>638</v>
      </c>
      <c r="C466" t="s">
        <v>639</v>
      </c>
      <c r="D466" t="s">
        <v>2192</v>
      </c>
      <c r="E466" t="s">
        <v>343</v>
      </c>
      <c r="F466" t="s">
        <v>2192</v>
      </c>
      <c r="G466" t="s">
        <v>2192</v>
      </c>
      <c r="H466" t="s">
        <v>316</v>
      </c>
      <c r="I466" t="s">
        <v>317</v>
      </c>
      <c r="J466" t="s">
        <v>210</v>
      </c>
      <c r="K466" t="s">
        <v>122</v>
      </c>
      <c r="L466" t="s">
        <v>350</v>
      </c>
      <c r="M466" t="s">
        <v>2193</v>
      </c>
      <c r="N466" t="s">
        <v>2193</v>
      </c>
    </row>
    <row r="467" spans="1:14">
      <c r="A467" t="s">
        <v>2194</v>
      </c>
      <c r="B467" t="s">
        <v>2037</v>
      </c>
      <c r="C467" t="s">
        <v>2195</v>
      </c>
      <c r="D467" t="s">
        <v>2196</v>
      </c>
      <c r="E467" t="s">
        <v>343</v>
      </c>
      <c r="F467" t="s">
        <v>2196</v>
      </c>
      <c r="G467" t="s">
        <v>2196</v>
      </c>
      <c r="H467" t="s">
        <v>306</v>
      </c>
      <c r="I467" t="s">
        <v>307</v>
      </c>
      <c r="J467" t="s">
        <v>210</v>
      </c>
      <c r="K467" t="s">
        <v>122</v>
      </c>
      <c r="L467" t="s">
        <v>350</v>
      </c>
      <c r="M467" t="s">
        <v>2197</v>
      </c>
      <c r="N467" t="s">
        <v>2197</v>
      </c>
    </row>
    <row r="468" spans="1:14">
      <c r="A468" t="s">
        <v>2198</v>
      </c>
      <c r="B468" t="s">
        <v>2199</v>
      </c>
      <c r="C468" t="s">
        <v>2200</v>
      </c>
      <c r="D468" t="s">
        <v>2201</v>
      </c>
      <c r="E468" t="s">
        <v>343</v>
      </c>
      <c r="F468" t="s">
        <v>2201</v>
      </c>
      <c r="G468" t="s">
        <v>2201</v>
      </c>
      <c r="H468" t="s">
        <v>306</v>
      </c>
      <c r="I468" t="s">
        <v>307</v>
      </c>
      <c r="J468" t="s">
        <v>210</v>
      </c>
      <c r="K468" t="s">
        <v>122</v>
      </c>
      <c r="L468" t="s">
        <v>350</v>
      </c>
      <c r="M468" t="s">
        <v>2202</v>
      </c>
      <c r="N468" t="s">
        <v>2202</v>
      </c>
    </row>
    <row r="469" spans="1:14">
      <c r="A469" t="s">
        <v>2203</v>
      </c>
      <c r="B469" t="s">
        <v>302</v>
      </c>
      <c r="C469" t="s">
        <v>2204</v>
      </c>
      <c r="D469" t="s">
        <v>1704</v>
      </c>
      <c r="E469" t="s">
        <v>343</v>
      </c>
      <c r="F469" t="s">
        <v>1704</v>
      </c>
      <c r="G469" t="s">
        <v>1704</v>
      </c>
      <c r="H469" t="s">
        <v>306</v>
      </c>
      <c r="I469" t="s">
        <v>307</v>
      </c>
      <c r="J469" t="s">
        <v>210</v>
      </c>
      <c r="K469" t="s">
        <v>122</v>
      </c>
      <c r="L469" t="s">
        <v>350</v>
      </c>
      <c r="M469" t="s">
        <v>2205</v>
      </c>
      <c r="N469" t="s">
        <v>2205</v>
      </c>
    </row>
    <row r="470" spans="1:14">
      <c r="A470" t="s">
        <v>2206</v>
      </c>
      <c r="B470" t="s">
        <v>712</v>
      </c>
      <c r="C470" t="s">
        <v>713</v>
      </c>
      <c r="D470" t="s">
        <v>2207</v>
      </c>
      <c r="E470" t="s">
        <v>343</v>
      </c>
      <c r="F470" t="s">
        <v>2207</v>
      </c>
      <c r="G470" t="s">
        <v>2207</v>
      </c>
      <c r="H470" t="s">
        <v>306</v>
      </c>
      <c r="I470" t="s">
        <v>307</v>
      </c>
      <c r="J470" t="s">
        <v>210</v>
      </c>
      <c r="K470" t="s">
        <v>122</v>
      </c>
      <c r="L470" t="s">
        <v>350</v>
      </c>
      <c r="M470" t="s">
        <v>2208</v>
      </c>
      <c r="N470" t="s">
        <v>2208</v>
      </c>
    </row>
    <row r="471" spans="1:14">
      <c r="A471" t="s">
        <v>2209</v>
      </c>
      <c r="B471" t="s">
        <v>2037</v>
      </c>
      <c r="C471" t="s">
        <v>2210</v>
      </c>
      <c r="D471" t="s">
        <v>2211</v>
      </c>
      <c r="E471" t="s">
        <v>343</v>
      </c>
      <c r="F471" t="s">
        <v>2211</v>
      </c>
      <c r="G471" t="s">
        <v>2211</v>
      </c>
      <c r="H471" t="s">
        <v>306</v>
      </c>
      <c r="I471" t="s">
        <v>307</v>
      </c>
      <c r="J471" t="s">
        <v>210</v>
      </c>
      <c r="K471" t="s">
        <v>122</v>
      </c>
      <c r="L471" t="s">
        <v>350</v>
      </c>
      <c r="M471" t="s">
        <v>2212</v>
      </c>
      <c r="N471" t="s">
        <v>2212</v>
      </c>
    </row>
    <row r="472" spans="1:14">
      <c r="A472" t="s">
        <v>2213</v>
      </c>
      <c r="B472" t="s">
        <v>454</v>
      </c>
      <c r="C472" t="s">
        <v>455</v>
      </c>
      <c r="D472" t="s">
        <v>2214</v>
      </c>
      <c r="E472" t="s">
        <v>343</v>
      </c>
      <c r="F472" t="s">
        <v>2214</v>
      </c>
      <c r="G472" t="s">
        <v>2214</v>
      </c>
      <c r="H472" t="s">
        <v>306</v>
      </c>
      <c r="I472" t="s">
        <v>307</v>
      </c>
      <c r="J472" t="s">
        <v>210</v>
      </c>
      <c r="K472" t="s">
        <v>122</v>
      </c>
      <c r="L472" t="s">
        <v>350</v>
      </c>
      <c r="M472" t="s">
        <v>2215</v>
      </c>
      <c r="N472" t="s">
        <v>2215</v>
      </c>
    </row>
    <row r="473" spans="1:14">
      <c r="A473" t="s">
        <v>2216</v>
      </c>
      <c r="B473" t="s">
        <v>2037</v>
      </c>
      <c r="C473" t="s">
        <v>2217</v>
      </c>
      <c r="D473" t="s">
        <v>2218</v>
      </c>
      <c r="E473" t="s">
        <v>343</v>
      </c>
      <c r="F473" t="s">
        <v>2218</v>
      </c>
      <c r="G473" t="s">
        <v>2218</v>
      </c>
      <c r="H473" t="s">
        <v>306</v>
      </c>
      <c r="I473" t="s">
        <v>307</v>
      </c>
      <c r="J473" t="s">
        <v>210</v>
      </c>
      <c r="K473" t="s">
        <v>122</v>
      </c>
      <c r="L473" t="s">
        <v>350</v>
      </c>
      <c r="M473" t="s">
        <v>1733</v>
      </c>
      <c r="N473" t="s">
        <v>1733</v>
      </c>
    </row>
    <row r="474" spans="1:14">
      <c r="A474" t="s">
        <v>2219</v>
      </c>
      <c r="B474" t="s">
        <v>2220</v>
      </c>
      <c r="C474" t="s">
        <v>2221</v>
      </c>
      <c r="D474" t="s">
        <v>2222</v>
      </c>
      <c r="E474" t="s">
        <v>364</v>
      </c>
      <c r="F474" t="s">
        <v>2222</v>
      </c>
      <c r="G474" t="s">
        <v>2222</v>
      </c>
      <c r="H474" t="s">
        <v>306</v>
      </c>
      <c r="I474" t="s">
        <v>612</v>
      </c>
      <c r="J474" t="s">
        <v>210</v>
      </c>
      <c r="K474" t="s">
        <v>122</v>
      </c>
      <c r="L474" t="s">
        <v>350</v>
      </c>
      <c r="M474" t="s">
        <v>2223</v>
      </c>
      <c r="N474" t="s">
        <v>2223</v>
      </c>
    </row>
    <row r="475" spans="1:14">
      <c r="A475" t="s">
        <v>2224</v>
      </c>
      <c r="B475" t="s">
        <v>722</v>
      </c>
      <c r="C475" t="s">
        <v>723</v>
      </c>
      <c r="D475" t="s">
        <v>2225</v>
      </c>
      <c r="E475" t="s">
        <v>343</v>
      </c>
      <c r="F475" t="s">
        <v>2225</v>
      </c>
      <c r="G475" t="s">
        <v>2225</v>
      </c>
      <c r="H475" t="s">
        <v>306</v>
      </c>
      <c r="I475" t="s">
        <v>307</v>
      </c>
      <c r="J475" t="s">
        <v>210</v>
      </c>
      <c r="K475" t="s">
        <v>122</v>
      </c>
      <c r="L475" t="s">
        <v>350</v>
      </c>
      <c r="M475" t="s">
        <v>2226</v>
      </c>
      <c r="N475" t="s">
        <v>2226</v>
      </c>
    </row>
    <row r="476" spans="1:14">
      <c r="A476" t="s">
        <v>2227</v>
      </c>
      <c r="B476" t="s">
        <v>759</v>
      </c>
      <c r="C476" t="s">
        <v>760</v>
      </c>
      <c r="D476" t="s">
        <v>1193</v>
      </c>
      <c r="E476" t="s">
        <v>343</v>
      </c>
      <c r="F476" t="s">
        <v>2228</v>
      </c>
      <c r="G476" t="s">
        <v>2228</v>
      </c>
      <c r="H476" t="s">
        <v>306</v>
      </c>
      <c r="I476" t="s">
        <v>612</v>
      </c>
      <c r="J476" t="s">
        <v>210</v>
      </c>
      <c r="K476" t="s">
        <v>122</v>
      </c>
      <c r="L476" t="s">
        <v>350</v>
      </c>
      <c r="M476" t="s">
        <v>2229</v>
      </c>
      <c r="N476" t="s">
        <v>2229</v>
      </c>
    </row>
    <row r="477" spans="1:14">
      <c r="A477" t="s">
        <v>2230</v>
      </c>
      <c r="B477" t="s">
        <v>722</v>
      </c>
      <c r="C477" t="s">
        <v>723</v>
      </c>
      <c r="D477" t="s">
        <v>1099</v>
      </c>
      <c r="E477" t="s">
        <v>325</v>
      </c>
      <c r="F477" t="s">
        <v>1099</v>
      </c>
      <c r="G477" t="s">
        <v>1099</v>
      </c>
      <c r="H477" t="s">
        <v>306</v>
      </c>
      <c r="I477" t="s">
        <v>612</v>
      </c>
      <c r="J477" t="s">
        <v>210</v>
      </c>
      <c r="K477" t="s">
        <v>122</v>
      </c>
      <c r="L477" t="s">
        <v>350</v>
      </c>
      <c r="M477" t="s">
        <v>1100</v>
      </c>
      <c r="N477" t="s">
        <v>1100</v>
      </c>
    </row>
    <row r="478" spans="1:14">
      <c r="A478" t="s">
        <v>2231</v>
      </c>
      <c r="B478" t="s">
        <v>912</v>
      </c>
      <c r="C478" t="s">
        <v>913</v>
      </c>
      <c r="D478" t="s">
        <v>649</v>
      </c>
      <c r="E478" t="s">
        <v>343</v>
      </c>
      <c r="F478" t="s">
        <v>649</v>
      </c>
      <c r="G478" t="s">
        <v>649</v>
      </c>
      <c r="H478" t="s">
        <v>306</v>
      </c>
      <c r="I478" t="s">
        <v>612</v>
      </c>
      <c r="J478" t="s">
        <v>210</v>
      </c>
      <c r="K478" t="s">
        <v>122</v>
      </c>
      <c r="L478" t="s">
        <v>350</v>
      </c>
      <c r="M478" t="s">
        <v>2232</v>
      </c>
      <c r="N478" t="s">
        <v>2232</v>
      </c>
    </row>
    <row r="479" spans="1:14">
      <c r="A479" t="s">
        <v>2233</v>
      </c>
      <c r="B479" t="s">
        <v>1420</v>
      </c>
      <c r="C479" t="s">
        <v>1421</v>
      </c>
      <c r="D479" t="s">
        <v>2234</v>
      </c>
      <c r="E479" t="s">
        <v>343</v>
      </c>
      <c r="F479" t="s">
        <v>2234</v>
      </c>
      <c r="G479" t="s">
        <v>2234</v>
      </c>
      <c r="H479" t="s">
        <v>306</v>
      </c>
      <c r="I479" t="s">
        <v>612</v>
      </c>
      <c r="J479" t="s">
        <v>210</v>
      </c>
      <c r="K479" t="s">
        <v>122</v>
      </c>
      <c r="L479" t="s">
        <v>350</v>
      </c>
      <c r="M479" t="s">
        <v>2235</v>
      </c>
      <c r="N479" t="s">
        <v>2235</v>
      </c>
    </row>
    <row r="480" spans="1:14">
      <c r="A480" t="s">
        <v>2236</v>
      </c>
      <c r="B480" t="s">
        <v>2237</v>
      </c>
      <c r="C480" t="s">
        <v>2238</v>
      </c>
      <c r="D480" t="s">
        <v>2239</v>
      </c>
      <c r="E480" t="s">
        <v>343</v>
      </c>
      <c r="F480" t="s">
        <v>2239</v>
      </c>
      <c r="G480" t="s">
        <v>2239</v>
      </c>
      <c r="H480" t="s">
        <v>306</v>
      </c>
      <c r="I480" t="s">
        <v>612</v>
      </c>
      <c r="J480" t="s">
        <v>210</v>
      </c>
      <c r="K480" t="s">
        <v>122</v>
      </c>
      <c r="L480" t="s">
        <v>327</v>
      </c>
      <c r="M480" t="s">
        <v>2240</v>
      </c>
      <c r="N480" t="s">
        <v>2240</v>
      </c>
    </row>
    <row r="481" spans="1:14">
      <c r="A481" t="s">
        <v>2241</v>
      </c>
      <c r="B481" t="s">
        <v>2242</v>
      </c>
      <c r="C481" t="s">
        <v>2243</v>
      </c>
      <c r="D481" t="s">
        <v>2244</v>
      </c>
      <c r="E481" t="s">
        <v>343</v>
      </c>
      <c r="F481" t="s">
        <v>2244</v>
      </c>
      <c r="G481" t="s">
        <v>2244</v>
      </c>
      <c r="H481" t="s">
        <v>306</v>
      </c>
      <c r="I481" t="s">
        <v>612</v>
      </c>
      <c r="J481" t="s">
        <v>210</v>
      </c>
      <c r="K481" t="s">
        <v>122</v>
      </c>
      <c r="L481" t="s">
        <v>350</v>
      </c>
      <c r="M481" t="s">
        <v>2245</v>
      </c>
      <c r="N481" t="s">
        <v>2245</v>
      </c>
    </row>
    <row r="482" spans="1:14">
      <c r="A482" t="s">
        <v>2246</v>
      </c>
      <c r="B482" t="s">
        <v>2247</v>
      </c>
      <c r="C482" t="s">
        <v>2248</v>
      </c>
      <c r="D482" t="s">
        <v>2249</v>
      </c>
      <c r="E482" t="s">
        <v>343</v>
      </c>
      <c r="F482" t="s">
        <v>2249</v>
      </c>
      <c r="G482" t="s">
        <v>2249</v>
      </c>
      <c r="H482" t="s">
        <v>306</v>
      </c>
      <c r="I482" t="s">
        <v>612</v>
      </c>
      <c r="J482" t="s">
        <v>210</v>
      </c>
      <c r="K482" t="s">
        <v>122</v>
      </c>
      <c r="L482" t="s">
        <v>350</v>
      </c>
      <c r="M482" t="s">
        <v>2250</v>
      </c>
      <c r="N482" t="s">
        <v>2250</v>
      </c>
    </row>
    <row r="483" spans="1:14">
      <c r="A483" t="s">
        <v>2251</v>
      </c>
      <c r="B483" t="s">
        <v>759</v>
      </c>
      <c r="C483" t="s">
        <v>760</v>
      </c>
      <c r="D483" t="s">
        <v>2125</v>
      </c>
      <c r="E483" t="s">
        <v>325</v>
      </c>
      <c r="F483" t="s">
        <v>2125</v>
      </c>
      <c r="G483" t="s">
        <v>2125</v>
      </c>
      <c r="H483" t="s">
        <v>306</v>
      </c>
      <c r="I483" t="s">
        <v>612</v>
      </c>
      <c r="J483" t="s">
        <v>210</v>
      </c>
      <c r="K483" t="s">
        <v>122</v>
      </c>
      <c r="L483" t="s">
        <v>350</v>
      </c>
      <c r="M483" t="s">
        <v>2252</v>
      </c>
      <c r="N483" t="s">
        <v>2252</v>
      </c>
    </row>
    <row r="484" spans="1:14">
      <c r="A484" t="s">
        <v>2253</v>
      </c>
      <c r="B484" t="s">
        <v>556</v>
      </c>
      <c r="C484" t="s">
        <v>557</v>
      </c>
      <c r="D484" t="s">
        <v>450</v>
      </c>
      <c r="E484" t="s">
        <v>343</v>
      </c>
      <c r="F484" t="s">
        <v>450</v>
      </c>
      <c r="G484" t="s">
        <v>450</v>
      </c>
      <c r="H484" t="s">
        <v>306</v>
      </c>
      <c r="I484" t="s">
        <v>612</v>
      </c>
      <c r="J484" t="s">
        <v>210</v>
      </c>
      <c r="K484" t="s">
        <v>122</v>
      </c>
      <c r="L484" t="s">
        <v>350</v>
      </c>
      <c r="M484" t="s">
        <v>788</v>
      </c>
      <c r="N484" t="s">
        <v>788</v>
      </c>
    </row>
    <row r="485" spans="1:14">
      <c r="A485" t="s">
        <v>2254</v>
      </c>
      <c r="B485" t="s">
        <v>2255</v>
      </c>
      <c r="C485" t="s">
        <v>2256</v>
      </c>
      <c r="D485" t="s">
        <v>1866</v>
      </c>
      <c r="E485" t="s">
        <v>343</v>
      </c>
      <c r="F485" t="s">
        <v>1866</v>
      </c>
      <c r="G485" t="s">
        <v>1866</v>
      </c>
      <c r="H485" t="s">
        <v>306</v>
      </c>
      <c r="I485" t="s">
        <v>612</v>
      </c>
      <c r="J485" t="s">
        <v>210</v>
      </c>
      <c r="K485" t="s">
        <v>122</v>
      </c>
      <c r="L485" t="s">
        <v>350</v>
      </c>
      <c r="M485" t="s">
        <v>2257</v>
      </c>
      <c r="N485" t="s">
        <v>2257</v>
      </c>
    </row>
    <row r="486" spans="1:14">
      <c r="A486" t="s">
        <v>2258</v>
      </c>
      <c r="B486" t="s">
        <v>2259</v>
      </c>
      <c r="C486" t="s">
        <v>2260</v>
      </c>
      <c r="D486" t="s">
        <v>2261</v>
      </c>
      <c r="E486" t="s">
        <v>343</v>
      </c>
      <c r="F486" t="s">
        <v>2261</v>
      </c>
      <c r="G486" t="s">
        <v>2261</v>
      </c>
      <c r="H486" t="s">
        <v>306</v>
      </c>
      <c r="I486" t="s">
        <v>307</v>
      </c>
      <c r="J486" t="s">
        <v>210</v>
      </c>
      <c r="K486" t="s">
        <v>122</v>
      </c>
      <c r="L486" t="s">
        <v>350</v>
      </c>
      <c r="M486" t="s">
        <v>2262</v>
      </c>
      <c r="N486" t="s">
        <v>2262</v>
      </c>
    </row>
    <row r="487" spans="1:14">
      <c r="A487" t="s">
        <v>2263</v>
      </c>
      <c r="B487" t="s">
        <v>2037</v>
      </c>
      <c r="C487" t="s">
        <v>2264</v>
      </c>
      <c r="D487" t="s">
        <v>2265</v>
      </c>
      <c r="E487" t="s">
        <v>343</v>
      </c>
      <c r="F487" t="s">
        <v>2265</v>
      </c>
      <c r="G487" t="s">
        <v>2265</v>
      </c>
      <c r="H487" t="s">
        <v>306</v>
      </c>
      <c r="I487" t="s">
        <v>307</v>
      </c>
      <c r="J487" t="s">
        <v>210</v>
      </c>
      <c r="K487" t="s">
        <v>122</v>
      </c>
      <c r="L487" t="s">
        <v>350</v>
      </c>
      <c r="M487" t="s">
        <v>2266</v>
      </c>
      <c r="N487" t="s">
        <v>2266</v>
      </c>
    </row>
    <row r="488" spans="1:14">
      <c r="A488" t="s">
        <v>2267</v>
      </c>
      <c r="B488" t="s">
        <v>2268</v>
      </c>
      <c r="C488" t="s">
        <v>2269</v>
      </c>
      <c r="D488" t="s">
        <v>2270</v>
      </c>
      <c r="E488" t="s">
        <v>343</v>
      </c>
      <c r="F488" t="s">
        <v>2270</v>
      </c>
      <c r="G488" t="s">
        <v>2270</v>
      </c>
      <c r="H488" t="s">
        <v>306</v>
      </c>
      <c r="I488" t="s">
        <v>307</v>
      </c>
      <c r="J488" t="s">
        <v>210</v>
      </c>
      <c r="K488" t="s">
        <v>122</v>
      </c>
      <c r="L488" t="s">
        <v>350</v>
      </c>
      <c r="M488" t="s">
        <v>2271</v>
      </c>
      <c r="N488" t="s">
        <v>2271</v>
      </c>
    </row>
    <row r="489" spans="1:14">
      <c r="A489" t="s">
        <v>2272</v>
      </c>
      <c r="B489" t="s">
        <v>2044</v>
      </c>
      <c r="C489" t="s">
        <v>2273</v>
      </c>
      <c r="D489" t="s">
        <v>1256</v>
      </c>
      <c r="E489" t="s">
        <v>343</v>
      </c>
      <c r="F489" t="s">
        <v>1256</v>
      </c>
      <c r="G489" t="s">
        <v>1256</v>
      </c>
      <c r="H489" t="s">
        <v>306</v>
      </c>
      <c r="I489" t="s">
        <v>307</v>
      </c>
      <c r="J489" t="s">
        <v>210</v>
      </c>
      <c r="K489" t="s">
        <v>122</v>
      </c>
      <c r="L489" t="s">
        <v>350</v>
      </c>
      <c r="M489" t="s">
        <v>2274</v>
      </c>
      <c r="N489" t="s">
        <v>2274</v>
      </c>
    </row>
    <row r="490" spans="1:14">
      <c r="A490" t="s">
        <v>2275</v>
      </c>
      <c r="B490" t="s">
        <v>712</v>
      </c>
      <c r="C490" t="s">
        <v>713</v>
      </c>
      <c r="D490" t="s">
        <v>2276</v>
      </c>
      <c r="E490" t="s">
        <v>343</v>
      </c>
      <c r="F490" t="s">
        <v>2276</v>
      </c>
      <c r="G490" t="s">
        <v>2276</v>
      </c>
      <c r="H490" t="s">
        <v>306</v>
      </c>
      <c r="I490" t="s">
        <v>307</v>
      </c>
      <c r="J490" t="s">
        <v>210</v>
      </c>
      <c r="K490" t="s">
        <v>122</v>
      </c>
      <c r="L490" t="s">
        <v>350</v>
      </c>
      <c r="M490" t="s">
        <v>2277</v>
      </c>
      <c r="N490" t="s">
        <v>2277</v>
      </c>
    </row>
    <row r="491" spans="1:14">
      <c r="A491" t="s">
        <v>2278</v>
      </c>
      <c r="B491" t="s">
        <v>454</v>
      </c>
      <c r="C491" t="s">
        <v>455</v>
      </c>
      <c r="D491" t="s">
        <v>2109</v>
      </c>
      <c r="E491" t="s">
        <v>343</v>
      </c>
      <c r="F491" t="s">
        <v>2109</v>
      </c>
      <c r="G491" t="s">
        <v>2109</v>
      </c>
      <c r="H491" t="s">
        <v>306</v>
      </c>
      <c r="I491" t="s">
        <v>307</v>
      </c>
      <c r="J491" t="s">
        <v>210</v>
      </c>
      <c r="K491" t="s">
        <v>122</v>
      </c>
      <c r="L491" t="s">
        <v>350</v>
      </c>
      <c r="M491" t="s">
        <v>2279</v>
      </c>
      <c r="N491" t="s">
        <v>2279</v>
      </c>
    </row>
    <row r="492" spans="1:14">
      <c r="A492" t="s">
        <v>2280</v>
      </c>
      <c r="B492" t="s">
        <v>2044</v>
      </c>
      <c r="C492" t="s">
        <v>2281</v>
      </c>
      <c r="D492" t="s">
        <v>1686</v>
      </c>
      <c r="E492" t="s">
        <v>343</v>
      </c>
      <c r="F492" t="s">
        <v>1686</v>
      </c>
      <c r="G492" t="s">
        <v>1686</v>
      </c>
      <c r="H492" t="s">
        <v>306</v>
      </c>
      <c r="I492" t="s">
        <v>307</v>
      </c>
      <c r="J492" t="s">
        <v>210</v>
      </c>
      <c r="K492" t="s">
        <v>122</v>
      </c>
      <c r="L492" t="s">
        <v>350</v>
      </c>
      <c r="M492" t="s">
        <v>2282</v>
      </c>
      <c r="N492" t="s">
        <v>2282</v>
      </c>
    </row>
    <row r="493" spans="1:14">
      <c r="A493" t="s">
        <v>2283</v>
      </c>
      <c r="B493" t="s">
        <v>2037</v>
      </c>
      <c r="C493" t="s">
        <v>2284</v>
      </c>
      <c r="D493" t="s">
        <v>2285</v>
      </c>
      <c r="E493" t="s">
        <v>343</v>
      </c>
      <c r="F493" t="s">
        <v>2285</v>
      </c>
      <c r="G493" t="s">
        <v>2285</v>
      </c>
      <c r="H493" t="s">
        <v>306</v>
      </c>
      <c r="I493" t="s">
        <v>307</v>
      </c>
      <c r="J493" t="s">
        <v>210</v>
      </c>
      <c r="K493" t="s">
        <v>122</v>
      </c>
      <c r="L493" t="s">
        <v>350</v>
      </c>
      <c r="M493" t="s">
        <v>2286</v>
      </c>
      <c r="N493" t="s">
        <v>2286</v>
      </c>
    </row>
    <row r="494" spans="1:14">
      <c r="A494" t="s">
        <v>2287</v>
      </c>
      <c r="B494" t="s">
        <v>712</v>
      </c>
      <c r="C494" t="s">
        <v>713</v>
      </c>
      <c r="D494" t="s">
        <v>1797</v>
      </c>
      <c r="E494" t="s">
        <v>343</v>
      </c>
      <c r="F494" t="s">
        <v>1797</v>
      </c>
      <c r="G494" t="s">
        <v>1797</v>
      </c>
      <c r="H494" t="s">
        <v>306</v>
      </c>
      <c r="I494" t="s">
        <v>307</v>
      </c>
      <c r="J494" t="s">
        <v>210</v>
      </c>
      <c r="K494" t="s">
        <v>122</v>
      </c>
      <c r="L494" t="s">
        <v>350</v>
      </c>
      <c r="M494" t="s">
        <v>2288</v>
      </c>
      <c r="N494" t="s">
        <v>2288</v>
      </c>
    </row>
    <row r="495" spans="1:14">
      <c r="A495" t="s">
        <v>2289</v>
      </c>
      <c r="B495" t="s">
        <v>2044</v>
      </c>
      <c r="C495" t="s">
        <v>2290</v>
      </c>
      <c r="D495" t="s">
        <v>1075</v>
      </c>
      <c r="E495" t="s">
        <v>343</v>
      </c>
      <c r="F495" t="s">
        <v>1075</v>
      </c>
      <c r="G495" t="s">
        <v>1075</v>
      </c>
      <c r="H495" t="s">
        <v>306</v>
      </c>
      <c r="I495" t="s">
        <v>307</v>
      </c>
      <c r="J495" t="s">
        <v>210</v>
      </c>
      <c r="K495" t="s">
        <v>122</v>
      </c>
      <c r="L495" t="s">
        <v>350</v>
      </c>
      <c r="M495" t="s">
        <v>2291</v>
      </c>
      <c r="N495" t="s">
        <v>2291</v>
      </c>
    </row>
    <row r="496" spans="1:14">
      <c r="A496" t="s">
        <v>2292</v>
      </c>
      <c r="B496" t="s">
        <v>712</v>
      </c>
      <c r="C496" t="s">
        <v>713</v>
      </c>
      <c r="D496" t="s">
        <v>704</v>
      </c>
      <c r="E496" t="s">
        <v>343</v>
      </c>
      <c r="F496" t="s">
        <v>704</v>
      </c>
      <c r="G496" t="s">
        <v>704</v>
      </c>
      <c r="H496" t="s">
        <v>306</v>
      </c>
      <c r="I496" t="s">
        <v>307</v>
      </c>
      <c r="J496" t="s">
        <v>210</v>
      </c>
      <c r="K496" t="s">
        <v>122</v>
      </c>
      <c r="L496" t="s">
        <v>350</v>
      </c>
      <c r="M496" t="s">
        <v>2293</v>
      </c>
      <c r="N496" t="s">
        <v>2293</v>
      </c>
    </row>
    <row r="497" spans="1:14">
      <c r="A497" t="s">
        <v>2294</v>
      </c>
      <c r="B497" t="s">
        <v>2295</v>
      </c>
      <c r="C497" t="s">
        <v>2296</v>
      </c>
      <c r="D497" t="s">
        <v>2297</v>
      </c>
      <c r="E497" t="s">
        <v>343</v>
      </c>
      <c r="F497" t="s">
        <v>2297</v>
      </c>
      <c r="G497" t="s">
        <v>2297</v>
      </c>
      <c r="H497" t="s">
        <v>306</v>
      </c>
      <c r="I497" t="s">
        <v>307</v>
      </c>
      <c r="J497" t="s">
        <v>210</v>
      </c>
      <c r="K497" t="s">
        <v>122</v>
      </c>
      <c r="L497" t="s">
        <v>350</v>
      </c>
      <c r="M497" t="s">
        <v>2298</v>
      </c>
      <c r="N497" t="s">
        <v>2298</v>
      </c>
    </row>
    <row r="498" spans="1:14">
      <c r="A498" t="s">
        <v>2299</v>
      </c>
      <c r="B498" t="s">
        <v>515</v>
      </c>
      <c r="C498" t="s">
        <v>2300</v>
      </c>
      <c r="D498" t="s">
        <v>1704</v>
      </c>
      <c r="E498" t="s">
        <v>343</v>
      </c>
      <c r="F498" t="s">
        <v>1704</v>
      </c>
      <c r="G498" t="s">
        <v>1704</v>
      </c>
      <c r="H498" t="s">
        <v>306</v>
      </c>
      <c r="I498" t="s">
        <v>307</v>
      </c>
      <c r="J498" t="s">
        <v>210</v>
      </c>
      <c r="K498" t="s">
        <v>122</v>
      </c>
      <c r="L498" t="s">
        <v>350</v>
      </c>
      <c r="M498" t="s">
        <v>1701</v>
      </c>
      <c r="N498" t="s">
        <v>1701</v>
      </c>
    </row>
    <row r="499" spans="1:14">
      <c r="A499" t="s">
        <v>2301</v>
      </c>
      <c r="B499" t="s">
        <v>2037</v>
      </c>
      <c r="C499" t="s">
        <v>2302</v>
      </c>
      <c r="D499" t="s">
        <v>2303</v>
      </c>
      <c r="E499" t="s">
        <v>343</v>
      </c>
      <c r="F499" t="s">
        <v>2303</v>
      </c>
      <c r="G499" t="s">
        <v>2303</v>
      </c>
      <c r="H499" t="s">
        <v>306</v>
      </c>
      <c r="I499" t="s">
        <v>307</v>
      </c>
      <c r="J499" t="s">
        <v>210</v>
      </c>
      <c r="K499" t="s">
        <v>122</v>
      </c>
      <c r="L499" t="s">
        <v>350</v>
      </c>
      <c r="M499" t="s">
        <v>2304</v>
      </c>
      <c r="N499" t="s">
        <v>2304</v>
      </c>
    </row>
    <row r="500" spans="1:14">
      <c r="A500" t="s">
        <v>2305</v>
      </c>
      <c r="B500" t="s">
        <v>2306</v>
      </c>
      <c r="C500" t="s">
        <v>2307</v>
      </c>
      <c r="D500" t="s">
        <v>1819</v>
      </c>
      <c r="E500" t="s">
        <v>343</v>
      </c>
      <c r="F500" t="s">
        <v>1819</v>
      </c>
      <c r="G500" t="s">
        <v>1819</v>
      </c>
      <c r="H500" t="s">
        <v>306</v>
      </c>
      <c r="I500" t="s">
        <v>307</v>
      </c>
      <c r="J500" t="s">
        <v>210</v>
      </c>
      <c r="K500" t="s">
        <v>122</v>
      </c>
      <c r="L500" t="s">
        <v>350</v>
      </c>
      <c r="M500" t="s">
        <v>1820</v>
      </c>
      <c r="N500" t="s">
        <v>1820</v>
      </c>
    </row>
    <row r="501" spans="1:14">
      <c r="A501" t="s">
        <v>2308</v>
      </c>
      <c r="B501" t="s">
        <v>722</v>
      </c>
      <c r="C501" t="s">
        <v>723</v>
      </c>
      <c r="D501" t="s">
        <v>2309</v>
      </c>
      <c r="E501" t="s">
        <v>343</v>
      </c>
      <c r="F501" t="s">
        <v>2309</v>
      </c>
      <c r="G501" t="s">
        <v>2309</v>
      </c>
      <c r="H501" t="s">
        <v>306</v>
      </c>
      <c r="I501" t="s">
        <v>307</v>
      </c>
      <c r="J501" t="s">
        <v>210</v>
      </c>
      <c r="K501" t="s">
        <v>122</v>
      </c>
      <c r="L501" t="s">
        <v>350</v>
      </c>
      <c r="M501" t="s">
        <v>2310</v>
      </c>
      <c r="N501" t="s">
        <v>2310</v>
      </c>
    </row>
    <row r="502" spans="1:14">
      <c r="A502" t="s">
        <v>2311</v>
      </c>
      <c r="B502" t="s">
        <v>454</v>
      </c>
      <c r="C502" t="s">
        <v>455</v>
      </c>
      <c r="D502" t="s">
        <v>2312</v>
      </c>
      <c r="E502" t="s">
        <v>343</v>
      </c>
      <c r="F502" t="s">
        <v>2312</v>
      </c>
      <c r="G502" t="s">
        <v>2312</v>
      </c>
      <c r="H502" t="s">
        <v>306</v>
      </c>
      <c r="I502" t="s">
        <v>307</v>
      </c>
      <c r="J502" t="s">
        <v>210</v>
      </c>
      <c r="K502" t="s">
        <v>122</v>
      </c>
      <c r="L502" t="s">
        <v>350</v>
      </c>
      <c r="M502" t="s">
        <v>2313</v>
      </c>
      <c r="N502" t="s">
        <v>2313</v>
      </c>
    </row>
    <row r="503" spans="1:14">
      <c r="A503" t="s">
        <v>2314</v>
      </c>
      <c r="B503" t="s">
        <v>712</v>
      </c>
      <c r="C503" t="s">
        <v>713</v>
      </c>
      <c r="D503" t="s">
        <v>1256</v>
      </c>
      <c r="E503" t="s">
        <v>343</v>
      </c>
      <c r="F503" t="s">
        <v>1256</v>
      </c>
      <c r="G503" t="s">
        <v>1256</v>
      </c>
      <c r="H503" t="s">
        <v>306</v>
      </c>
      <c r="I503" t="s">
        <v>307</v>
      </c>
      <c r="J503" t="s">
        <v>210</v>
      </c>
      <c r="K503" t="s">
        <v>122</v>
      </c>
      <c r="L503" t="s">
        <v>350</v>
      </c>
      <c r="M503" t="s">
        <v>232</v>
      </c>
      <c r="N503" t="s">
        <v>232</v>
      </c>
    </row>
    <row r="504" spans="1:14">
      <c r="A504" t="s">
        <v>2315</v>
      </c>
      <c r="B504" t="s">
        <v>454</v>
      </c>
      <c r="C504" t="s">
        <v>455</v>
      </c>
      <c r="D504" t="s">
        <v>2316</v>
      </c>
      <c r="E504" t="s">
        <v>343</v>
      </c>
      <c r="F504" t="s">
        <v>1233</v>
      </c>
      <c r="G504" t="s">
        <v>1233</v>
      </c>
      <c r="H504" t="s">
        <v>431</v>
      </c>
      <c r="I504" t="s">
        <v>327</v>
      </c>
      <c r="J504" t="s">
        <v>210</v>
      </c>
      <c r="K504" t="s">
        <v>122</v>
      </c>
      <c r="L504" t="s">
        <v>350</v>
      </c>
      <c r="M504" t="s">
        <v>2317</v>
      </c>
      <c r="N504" t="s">
        <v>2317</v>
      </c>
    </row>
    <row r="505" spans="1:14">
      <c r="A505" t="s">
        <v>2318</v>
      </c>
      <c r="B505" t="s">
        <v>454</v>
      </c>
      <c r="C505" t="s">
        <v>455</v>
      </c>
      <c r="D505" t="s">
        <v>2319</v>
      </c>
      <c r="E505" t="s">
        <v>343</v>
      </c>
      <c r="F505" t="s">
        <v>2319</v>
      </c>
      <c r="G505" t="s">
        <v>2319</v>
      </c>
      <c r="H505" t="s">
        <v>306</v>
      </c>
      <c r="I505" t="s">
        <v>307</v>
      </c>
      <c r="J505" t="s">
        <v>210</v>
      </c>
      <c r="K505" t="s">
        <v>122</v>
      </c>
      <c r="L505" t="s">
        <v>350</v>
      </c>
      <c r="M505" t="s">
        <v>2320</v>
      </c>
      <c r="N505" t="s">
        <v>2320</v>
      </c>
    </row>
    <row r="506" spans="1:14">
      <c r="A506" t="s">
        <v>2321</v>
      </c>
      <c r="B506" t="s">
        <v>2044</v>
      </c>
      <c r="C506" t="s">
        <v>2322</v>
      </c>
      <c r="D506" t="s">
        <v>2323</v>
      </c>
      <c r="E506" t="s">
        <v>343</v>
      </c>
      <c r="F506" t="s">
        <v>2323</v>
      </c>
      <c r="G506" t="s">
        <v>2323</v>
      </c>
      <c r="H506" t="s">
        <v>306</v>
      </c>
      <c r="I506" t="s">
        <v>307</v>
      </c>
      <c r="J506" t="s">
        <v>210</v>
      </c>
      <c r="K506" t="s">
        <v>122</v>
      </c>
      <c r="L506" t="s">
        <v>350</v>
      </c>
      <c r="M506" t="s">
        <v>2324</v>
      </c>
      <c r="N506" t="s">
        <v>2324</v>
      </c>
    </row>
    <row r="507" spans="1:14">
      <c r="A507" t="s">
        <v>2325</v>
      </c>
      <c r="B507" t="s">
        <v>2326</v>
      </c>
      <c r="C507" t="s">
        <v>2327</v>
      </c>
      <c r="D507" t="s">
        <v>1447</v>
      </c>
      <c r="E507" t="s">
        <v>343</v>
      </c>
      <c r="F507" t="s">
        <v>1447</v>
      </c>
      <c r="G507" t="s">
        <v>1447</v>
      </c>
      <c r="H507" t="s">
        <v>306</v>
      </c>
      <c r="I507" t="s">
        <v>307</v>
      </c>
      <c r="J507" t="s">
        <v>210</v>
      </c>
      <c r="K507" t="s">
        <v>122</v>
      </c>
      <c r="L507" t="s">
        <v>350</v>
      </c>
      <c r="M507" t="s">
        <v>2328</v>
      </c>
      <c r="N507" t="s">
        <v>2328</v>
      </c>
    </row>
    <row r="508" spans="1:14">
      <c r="A508" t="s">
        <v>2329</v>
      </c>
      <c r="B508" t="s">
        <v>667</v>
      </c>
      <c r="C508" t="s">
        <v>668</v>
      </c>
      <c r="D508" t="s">
        <v>2211</v>
      </c>
      <c r="E508" t="s">
        <v>343</v>
      </c>
      <c r="F508" t="s">
        <v>2211</v>
      </c>
      <c r="G508" t="s">
        <v>2211</v>
      </c>
      <c r="H508" t="s">
        <v>306</v>
      </c>
      <c r="I508" t="s">
        <v>307</v>
      </c>
      <c r="J508" t="s">
        <v>210</v>
      </c>
      <c r="K508" t="s">
        <v>122</v>
      </c>
      <c r="L508" t="s">
        <v>350</v>
      </c>
      <c r="M508" t="s">
        <v>2330</v>
      </c>
      <c r="N508" t="s">
        <v>2330</v>
      </c>
    </row>
    <row r="509" spans="1:14">
      <c r="A509" t="s">
        <v>2331</v>
      </c>
      <c r="B509" t="s">
        <v>712</v>
      </c>
      <c r="C509" t="s">
        <v>713</v>
      </c>
      <c r="D509" t="s">
        <v>1275</v>
      </c>
      <c r="E509" t="s">
        <v>343</v>
      </c>
      <c r="F509" t="s">
        <v>1275</v>
      </c>
      <c r="G509" t="s">
        <v>1275</v>
      </c>
      <c r="H509" t="s">
        <v>306</v>
      </c>
      <c r="I509" t="s">
        <v>307</v>
      </c>
      <c r="J509" t="s">
        <v>210</v>
      </c>
      <c r="K509" t="s">
        <v>122</v>
      </c>
      <c r="L509" t="s">
        <v>350</v>
      </c>
      <c r="M509" t="s">
        <v>2332</v>
      </c>
      <c r="N509" t="s">
        <v>2332</v>
      </c>
    </row>
    <row r="510" spans="1:14">
      <c r="A510" t="s">
        <v>2333</v>
      </c>
      <c r="B510" t="s">
        <v>681</v>
      </c>
      <c r="C510" t="s">
        <v>2334</v>
      </c>
      <c r="D510" t="s">
        <v>2239</v>
      </c>
      <c r="E510" t="s">
        <v>343</v>
      </c>
      <c r="F510" t="s">
        <v>2239</v>
      </c>
      <c r="G510" t="s">
        <v>2239</v>
      </c>
      <c r="H510" t="s">
        <v>306</v>
      </c>
      <c r="I510" t="s">
        <v>307</v>
      </c>
      <c r="J510" t="s">
        <v>210</v>
      </c>
      <c r="K510" t="s">
        <v>122</v>
      </c>
      <c r="L510" t="s">
        <v>350</v>
      </c>
      <c r="M510" t="s">
        <v>2335</v>
      </c>
      <c r="N510" t="s">
        <v>2335</v>
      </c>
    </row>
    <row r="511" spans="1:14">
      <c r="A511" t="s">
        <v>2336</v>
      </c>
      <c r="B511" t="s">
        <v>1170</v>
      </c>
      <c r="C511" t="s">
        <v>1171</v>
      </c>
      <c r="D511" t="s">
        <v>2027</v>
      </c>
      <c r="E511" t="s">
        <v>343</v>
      </c>
      <c r="F511" t="s">
        <v>2027</v>
      </c>
      <c r="G511" t="s">
        <v>2027</v>
      </c>
      <c r="H511" t="s">
        <v>326</v>
      </c>
      <c r="I511" t="s">
        <v>327</v>
      </c>
      <c r="J511" t="s">
        <v>210</v>
      </c>
      <c r="K511" t="s">
        <v>122</v>
      </c>
      <c r="L511" t="s">
        <v>350</v>
      </c>
      <c r="M511" t="s">
        <v>2337</v>
      </c>
      <c r="N511" t="s">
        <v>2337</v>
      </c>
    </row>
    <row r="512" spans="1:14">
      <c r="A512" t="s">
        <v>2338</v>
      </c>
      <c r="B512" t="s">
        <v>2044</v>
      </c>
      <c r="C512" t="s">
        <v>2339</v>
      </c>
      <c r="D512" t="s">
        <v>2265</v>
      </c>
      <c r="E512" t="s">
        <v>343</v>
      </c>
      <c r="F512" t="s">
        <v>2265</v>
      </c>
      <c r="G512" t="s">
        <v>2265</v>
      </c>
      <c r="H512" t="s">
        <v>306</v>
      </c>
      <c r="I512" t="s">
        <v>307</v>
      </c>
      <c r="J512" t="s">
        <v>210</v>
      </c>
      <c r="K512" t="s">
        <v>122</v>
      </c>
      <c r="L512" t="s">
        <v>350</v>
      </c>
      <c r="M512" t="s">
        <v>2340</v>
      </c>
      <c r="N512" t="s">
        <v>2340</v>
      </c>
    </row>
    <row r="513" spans="1:14">
      <c r="A513" t="s">
        <v>2341</v>
      </c>
      <c r="B513" t="s">
        <v>454</v>
      </c>
      <c r="C513" t="s">
        <v>455</v>
      </c>
      <c r="D513" t="s">
        <v>2211</v>
      </c>
      <c r="E513" t="s">
        <v>343</v>
      </c>
      <c r="F513" t="s">
        <v>2211</v>
      </c>
      <c r="G513" t="s">
        <v>2211</v>
      </c>
      <c r="H513" t="s">
        <v>306</v>
      </c>
      <c r="I513" t="s">
        <v>307</v>
      </c>
      <c r="J513" t="s">
        <v>210</v>
      </c>
      <c r="K513" t="s">
        <v>122</v>
      </c>
      <c r="L513" t="s">
        <v>350</v>
      </c>
      <c r="M513" t="s">
        <v>2342</v>
      </c>
      <c r="N513" t="s">
        <v>2342</v>
      </c>
    </row>
    <row r="514" spans="1:14">
      <c r="A514" t="s">
        <v>2343</v>
      </c>
      <c r="B514" t="s">
        <v>2344</v>
      </c>
      <c r="C514" t="s">
        <v>2345</v>
      </c>
      <c r="D514" t="s">
        <v>2346</v>
      </c>
      <c r="E514" t="s">
        <v>343</v>
      </c>
      <c r="F514" t="s">
        <v>2346</v>
      </c>
      <c r="G514" t="s">
        <v>2346</v>
      </c>
      <c r="H514" t="s">
        <v>306</v>
      </c>
      <c r="I514" t="s">
        <v>307</v>
      </c>
      <c r="J514" t="s">
        <v>210</v>
      </c>
      <c r="K514" t="s">
        <v>122</v>
      </c>
      <c r="L514" t="s">
        <v>350</v>
      </c>
      <c r="M514" t="s">
        <v>2347</v>
      </c>
      <c r="N514" t="s">
        <v>2347</v>
      </c>
    </row>
    <row r="515" spans="1:14">
      <c r="A515" t="s">
        <v>2348</v>
      </c>
      <c r="B515" t="s">
        <v>712</v>
      </c>
      <c r="C515" t="s">
        <v>713</v>
      </c>
      <c r="D515" t="s">
        <v>2349</v>
      </c>
      <c r="E515" t="s">
        <v>343</v>
      </c>
      <c r="F515" t="s">
        <v>2349</v>
      </c>
      <c r="G515" t="s">
        <v>2349</v>
      </c>
      <c r="H515" t="s">
        <v>306</v>
      </c>
      <c r="I515" t="s">
        <v>307</v>
      </c>
      <c r="J515" t="s">
        <v>210</v>
      </c>
      <c r="K515" t="s">
        <v>122</v>
      </c>
      <c r="L515" t="s">
        <v>350</v>
      </c>
      <c r="M515" t="s">
        <v>2350</v>
      </c>
      <c r="N515" t="s">
        <v>2350</v>
      </c>
    </row>
    <row r="516" spans="1:14">
      <c r="A516" t="s">
        <v>2351</v>
      </c>
      <c r="B516" t="s">
        <v>712</v>
      </c>
      <c r="C516" t="s">
        <v>713</v>
      </c>
      <c r="D516" t="s">
        <v>2352</v>
      </c>
      <c r="E516" t="s">
        <v>343</v>
      </c>
      <c r="F516" t="s">
        <v>2352</v>
      </c>
      <c r="G516" t="s">
        <v>2352</v>
      </c>
      <c r="H516" t="s">
        <v>306</v>
      </c>
      <c r="I516" t="s">
        <v>307</v>
      </c>
      <c r="J516" t="s">
        <v>210</v>
      </c>
      <c r="K516" t="s">
        <v>122</v>
      </c>
      <c r="L516" t="s">
        <v>350</v>
      </c>
      <c r="M516" t="s">
        <v>2353</v>
      </c>
      <c r="N516" t="s">
        <v>2353</v>
      </c>
    </row>
    <row r="517" spans="1:14">
      <c r="A517" t="s">
        <v>2354</v>
      </c>
      <c r="B517" t="s">
        <v>1265</v>
      </c>
      <c r="C517" t="s">
        <v>1266</v>
      </c>
      <c r="D517" t="s">
        <v>2285</v>
      </c>
      <c r="E517" t="s">
        <v>343</v>
      </c>
      <c r="F517" t="s">
        <v>2285</v>
      </c>
      <c r="G517" t="s">
        <v>2285</v>
      </c>
      <c r="H517" t="s">
        <v>306</v>
      </c>
      <c r="I517" t="s">
        <v>612</v>
      </c>
      <c r="J517" t="s">
        <v>210</v>
      </c>
      <c r="K517" t="s">
        <v>122</v>
      </c>
      <c r="L517" t="s">
        <v>350</v>
      </c>
      <c r="M517" t="s">
        <v>2355</v>
      </c>
      <c r="N517" t="s">
        <v>2355</v>
      </c>
    </row>
    <row r="518" spans="1:14">
      <c r="A518" t="s">
        <v>2356</v>
      </c>
      <c r="B518" t="s">
        <v>712</v>
      </c>
      <c r="C518" t="s">
        <v>713</v>
      </c>
      <c r="D518" t="s">
        <v>2357</v>
      </c>
      <c r="E518" t="s">
        <v>343</v>
      </c>
      <c r="F518" t="s">
        <v>2357</v>
      </c>
      <c r="G518" t="s">
        <v>2357</v>
      </c>
      <c r="H518" t="s">
        <v>306</v>
      </c>
      <c r="I518" t="s">
        <v>307</v>
      </c>
      <c r="J518" t="s">
        <v>210</v>
      </c>
      <c r="K518" t="s">
        <v>122</v>
      </c>
      <c r="L518" t="s">
        <v>350</v>
      </c>
      <c r="M518" t="s">
        <v>2358</v>
      </c>
      <c r="N518" t="s">
        <v>2358</v>
      </c>
    </row>
    <row r="519" spans="1:14">
      <c r="A519" t="s">
        <v>2359</v>
      </c>
      <c r="B519" t="s">
        <v>2360</v>
      </c>
      <c r="C519" t="s">
        <v>2361</v>
      </c>
      <c r="D519" t="s">
        <v>2362</v>
      </c>
      <c r="E519" t="s">
        <v>343</v>
      </c>
      <c r="F519" t="s">
        <v>2362</v>
      </c>
      <c r="G519" t="s">
        <v>2362</v>
      </c>
      <c r="H519" t="s">
        <v>306</v>
      </c>
      <c r="I519" t="s">
        <v>307</v>
      </c>
      <c r="J519" t="s">
        <v>210</v>
      </c>
      <c r="K519" t="s">
        <v>122</v>
      </c>
      <c r="L519" t="s">
        <v>350</v>
      </c>
      <c r="M519" t="s">
        <v>2363</v>
      </c>
      <c r="N519" t="s">
        <v>2363</v>
      </c>
    </row>
    <row r="520" spans="1:14">
      <c r="A520" t="s">
        <v>2364</v>
      </c>
      <c r="B520" t="s">
        <v>556</v>
      </c>
      <c r="C520" t="s">
        <v>557</v>
      </c>
      <c r="D520" t="s">
        <v>2365</v>
      </c>
      <c r="E520" t="s">
        <v>343</v>
      </c>
      <c r="F520" t="s">
        <v>2365</v>
      </c>
      <c r="G520" t="s">
        <v>2365</v>
      </c>
      <c r="H520" t="s">
        <v>306</v>
      </c>
      <c r="I520" t="s">
        <v>307</v>
      </c>
      <c r="J520" t="s">
        <v>210</v>
      </c>
      <c r="K520" t="s">
        <v>122</v>
      </c>
      <c r="L520" t="s">
        <v>350</v>
      </c>
      <c r="M520" t="s">
        <v>2366</v>
      </c>
      <c r="N520" t="s">
        <v>2366</v>
      </c>
    </row>
    <row r="521" spans="1:14">
      <c r="A521" t="s">
        <v>2367</v>
      </c>
      <c r="B521" t="s">
        <v>454</v>
      </c>
      <c r="C521" t="s">
        <v>455</v>
      </c>
      <c r="D521" t="s">
        <v>1399</v>
      </c>
      <c r="E521" t="s">
        <v>343</v>
      </c>
      <c r="F521" t="s">
        <v>1399</v>
      </c>
      <c r="G521" t="s">
        <v>1399</v>
      </c>
      <c r="H521" t="s">
        <v>306</v>
      </c>
      <c r="I521" t="s">
        <v>307</v>
      </c>
      <c r="J521" t="s">
        <v>210</v>
      </c>
      <c r="K521" t="s">
        <v>122</v>
      </c>
      <c r="L521" t="s">
        <v>350</v>
      </c>
      <c r="M521" t="s">
        <v>2368</v>
      </c>
      <c r="N521" t="s">
        <v>2368</v>
      </c>
    </row>
    <row r="522" spans="1:14">
      <c r="A522" t="s">
        <v>2369</v>
      </c>
      <c r="B522" t="s">
        <v>712</v>
      </c>
      <c r="C522" t="s">
        <v>713</v>
      </c>
      <c r="D522" t="s">
        <v>373</v>
      </c>
      <c r="E522" t="s">
        <v>343</v>
      </c>
      <c r="F522" t="s">
        <v>373</v>
      </c>
      <c r="G522" t="s">
        <v>373</v>
      </c>
      <c r="H522" t="s">
        <v>306</v>
      </c>
      <c r="I522" t="s">
        <v>307</v>
      </c>
      <c r="J522" t="s">
        <v>210</v>
      </c>
      <c r="K522" t="s">
        <v>122</v>
      </c>
      <c r="L522" t="s">
        <v>350</v>
      </c>
      <c r="M522" t="s">
        <v>2370</v>
      </c>
      <c r="N522" t="s">
        <v>2370</v>
      </c>
    </row>
    <row r="523" spans="1:14">
      <c r="A523" t="s">
        <v>2371</v>
      </c>
      <c r="B523" t="s">
        <v>638</v>
      </c>
      <c r="C523" t="s">
        <v>639</v>
      </c>
      <c r="D523" t="s">
        <v>2346</v>
      </c>
      <c r="E523" t="s">
        <v>343</v>
      </c>
      <c r="F523" t="s">
        <v>2346</v>
      </c>
      <c r="G523" t="s">
        <v>2346</v>
      </c>
      <c r="H523" t="s">
        <v>316</v>
      </c>
      <c r="I523" t="s">
        <v>317</v>
      </c>
      <c r="J523" t="s">
        <v>210</v>
      </c>
      <c r="K523" t="s">
        <v>122</v>
      </c>
      <c r="L523" t="s">
        <v>350</v>
      </c>
      <c r="M523" t="s">
        <v>2372</v>
      </c>
      <c r="N523" t="s">
        <v>2372</v>
      </c>
    </row>
    <row r="524" spans="1:14">
      <c r="A524" t="s">
        <v>2373</v>
      </c>
      <c r="B524" t="s">
        <v>638</v>
      </c>
      <c r="C524" t="s">
        <v>639</v>
      </c>
      <c r="D524" t="s">
        <v>2374</v>
      </c>
      <c r="E524" t="s">
        <v>343</v>
      </c>
      <c r="F524" t="s">
        <v>2374</v>
      </c>
      <c r="G524" t="s">
        <v>2374</v>
      </c>
      <c r="H524" t="s">
        <v>431</v>
      </c>
      <c r="I524" t="s">
        <v>327</v>
      </c>
      <c r="J524" t="s">
        <v>210</v>
      </c>
      <c r="K524" t="s">
        <v>122</v>
      </c>
      <c r="L524" t="s">
        <v>350</v>
      </c>
      <c r="M524" t="s">
        <v>2375</v>
      </c>
      <c r="N524" t="s">
        <v>2375</v>
      </c>
    </row>
    <row r="525" spans="1:14">
      <c r="A525" t="s">
        <v>2376</v>
      </c>
      <c r="B525" t="s">
        <v>556</v>
      </c>
      <c r="C525" t="s">
        <v>557</v>
      </c>
      <c r="D525" t="s">
        <v>2377</v>
      </c>
      <c r="E525" t="s">
        <v>343</v>
      </c>
      <c r="F525" t="s">
        <v>2377</v>
      </c>
      <c r="G525" t="s">
        <v>2377</v>
      </c>
      <c r="H525" t="s">
        <v>306</v>
      </c>
      <c r="I525" t="s">
        <v>2378</v>
      </c>
      <c r="J525" t="s">
        <v>210</v>
      </c>
      <c r="K525" t="s">
        <v>122</v>
      </c>
      <c r="L525" t="s">
        <v>350</v>
      </c>
      <c r="M525" t="s">
        <v>2379</v>
      </c>
      <c r="N525" t="s">
        <v>2379</v>
      </c>
    </row>
    <row r="526" spans="1:14">
      <c r="A526" t="s">
        <v>2380</v>
      </c>
      <c r="B526" t="s">
        <v>546</v>
      </c>
      <c r="C526" t="s">
        <v>547</v>
      </c>
      <c r="D526" t="s">
        <v>1672</v>
      </c>
      <c r="E526" t="s">
        <v>343</v>
      </c>
      <c r="F526" t="s">
        <v>1672</v>
      </c>
      <c r="G526" t="s">
        <v>1672</v>
      </c>
      <c r="H526" t="s">
        <v>306</v>
      </c>
      <c r="I526" t="s">
        <v>307</v>
      </c>
      <c r="J526" t="s">
        <v>210</v>
      </c>
      <c r="K526" t="s">
        <v>122</v>
      </c>
      <c r="L526" t="s">
        <v>350</v>
      </c>
      <c r="M526" t="s">
        <v>2381</v>
      </c>
      <c r="N526" t="s">
        <v>2381</v>
      </c>
    </row>
    <row r="527" spans="1:14">
      <c r="A527" t="s">
        <v>2382</v>
      </c>
      <c r="B527" t="s">
        <v>302</v>
      </c>
      <c r="C527" t="s">
        <v>2383</v>
      </c>
      <c r="D527" t="s">
        <v>2183</v>
      </c>
      <c r="E527" t="s">
        <v>315</v>
      </c>
      <c r="F527" t="s">
        <v>2183</v>
      </c>
      <c r="G527" t="s">
        <v>2183</v>
      </c>
      <c r="H527" t="s">
        <v>306</v>
      </c>
      <c r="I527" t="s">
        <v>307</v>
      </c>
      <c r="J527" t="s">
        <v>210</v>
      </c>
      <c r="K527" t="s">
        <v>122</v>
      </c>
      <c r="L527" t="s">
        <v>350</v>
      </c>
      <c r="M527" t="s">
        <v>2384</v>
      </c>
      <c r="N527" t="s">
        <v>2384</v>
      </c>
    </row>
    <row r="528" spans="1:14">
      <c r="A528" t="s">
        <v>2385</v>
      </c>
      <c r="B528" t="s">
        <v>2386</v>
      </c>
      <c r="C528" t="s">
        <v>2387</v>
      </c>
      <c r="D528" t="s">
        <v>1819</v>
      </c>
      <c r="E528" t="s">
        <v>343</v>
      </c>
      <c r="F528" t="s">
        <v>1819</v>
      </c>
      <c r="G528" t="s">
        <v>1819</v>
      </c>
      <c r="H528" t="s">
        <v>306</v>
      </c>
      <c r="I528" t="s">
        <v>307</v>
      </c>
      <c r="J528" t="s">
        <v>210</v>
      </c>
      <c r="K528" t="s">
        <v>122</v>
      </c>
      <c r="L528" t="s">
        <v>350</v>
      </c>
      <c r="M528" t="s">
        <v>2388</v>
      </c>
      <c r="N528" t="s">
        <v>2388</v>
      </c>
    </row>
    <row r="529" spans="1:14">
      <c r="A529" t="s">
        <v>2389</v>
      </c>
      <c r="B529" t="s">
        <v>901</v>
      </c>
      <c r="C529" t="s">
        <v>902</v>
      </c>
      <c r="D529" t="s">
        <v>2239</v>
      </c>
      <c r="E529" t="s">
        <v>343</v>
      </c>
      <c r="F529" t="s">
        <v>2239</v>
      </c>
      <c r="G529" t="s">
        <v>2239</v>
      </c>
      <c r="H529" t="s">
        <v>316</v>
      </c>
      <c r="I529" t="s">
        <v>327</v>
      </c>
      <c r="J529" t="s">
        <v>210</v>
      </c>
      <c r="K529" t="s">
        <v>122</v>
      </c>
      <c r="L529" t="s">
        <v>350</v>
      </c>
      <c r="M529" t="s">
        <v>2390</v>
      </c>
      <c r="N529" t="s">
        <v>2390</v>
      </c>
    </row>
    <row r="530" spans="1:14">
      <c r="A530" t="s">
        <v>2391</v>
      </c>
      <c r="B530" t="s">
        <v>302</v>
      </c>
      <c r="C530" t="s">
        <v>2392</v>
      </c>
      <c r="D530" t="s">
        <v>2393</v>
      </c>
      <c r="E530" t="s">
        <v>343</v>
      </c>
      <c r="F530" t="s">
        <v>2393</v>
      </c>
      <c r="G530" t="s">
        <v>2393</v>
      </c>
      <c r="H530" t="s">
        <v>306</v>
      </c>
      <c r="I530" t="s">
        <v>307</v>
      </c>
      <c r="J530" t="s">
        <v>210</v>
      </c>
      <c r="K530" t="s">
        <v>122</v>
      </c>
      <c r="L530" t="s">
        <v>350</v>
      </c>
      <c r="M530" t="s">
        <v>2394</v>
      </c>
      <c r="N530" t="s">
        <v>2394</v>
      </c>
    </row>
    <row r="531" spans="1:14">
      <c r="A531" t="s">
        <v>2395</v>
      </c>
      <c r="B531" t="s">
        <v>546</v>
      </c>
      <c r="C531" t="s">
        <v>547</v>
      </c>
      <c r="D531" t="s">
        <v>2396</v>
      </c>
      <c r="E531" t="s">
        <v>343</v>
      </c>
      <c r="F531" t="s">
        <v>2396</v>
      </c>
      <c r="G531" t="s">
        <v>2396</v>
      </c>
      <c r="H531" t="s">
        <v>306</v>
      </c>
      <c r="I531" t="s">
        <v>307</v>
      </c>
      <c r="J531" t="s">
        <v>210</v>
      </c>
      <c r="K531" t="s">
        <v>122</v>
      </c>
      <c r="L531" t="s">
        <v>350</v>
      </c>
      <c r="M531" t="s">
        <v>2397</v>
      </c>
      <c r="N531" t="s">
        <v>2397</v>
      </c>
    </row>
    <row r="532" spans="1:14">
      <c r="A532" t="s">
        <v>2398</v>
      </c>
      <c r="B532" t="s">
        <v>712</v>
      </c>
      <c r="C532" t="s">
        <v>713</v>
      </c>
      <c r="D532" t="s">
        <v>1328</v>
      </c>
      <c r="E532" t="s">
        <v>343</v>
      </c>
      <c r="F532" t="s">
        <v>1328</v>
      </c>
      <c r="G532" t="s">
        <v>1328</v>
      </c>
      <c r="H532" t="s">
        <v>306</v>
      </c>
      <c r="I532" t="s">
        <v>307</v>
      </c>
      <c r="J532" t="s">
        <v>210</v>
      </c>
      <c r="K532" t="s">
        <v>122</v>
      </c>
      <c r="L532" t="s">
        <v>350</v>
      </c>
      <c r="M532" t="s">
        <v>1985</v>
      </c>
      <c r="N532" t="s">
        <v>1985</v>
      </c>
    </row>
    <row r="533" spans="1:14">
      <c r="A533" t="s">
        <v>2399</v>
      </c>
      <c r="B533" t="s">
        <v>2044</v>
      </c>
      <c r="C533" t="s">
        <v>2400</v>
      </c>
      <c r="D533" t="s">
        <v>2401</v>
      </c>
      <c r="E533" t="s">
        <v>343</v>
      </c>
      <c r="F533" t="s">
        <v>2401</v>
      </c>
      <c r="G533" t="s">
        <v>2401</v>
      </c>
      <c r="H533" t="s">
        <v>306</v>
      </c>
      <c r="I533" t="s">
        <v>307</v>
      </c>
      <c r="J533" t="s">
        <v>210</v>
      </c>
      <c r="K533" t="s">
        <v>122</v>
      </c>
      <c r="L533" t="s">
        <v>350</v>
      </c>
      <c r="M533" t="s">
        <v>2402</v>
      </c>
      <c r="N533" t="s">
        <v>2402</v>
      </c>
    </row>
    <row r="534" spans="1:14">
      <c r="A534" t="s">
        <v>2403</v>
      </c>
      <c r="B534" t="s">
        <v>2037</v>
      </c>
      <c r="C534" t="s">
        <v>2404</v>
      </c>
      <c r="D534" t="s">
        <v>2316</v>
      </c>
      <c r="E534" t="s">
        <v>343</v>
      </c>
      <c r="F534" t="s">
        <v>2316</v>
      </c>
      <c r="G534" t="s">
        <v>2316</v>
      </c>
      <c r="H534" t="s">
        <v>306</v>
      </c>
      <c r="I534" t="s">
        <v>307</v>
      </c>
      <c r="J534" t="s">
        <v>210</v>
      </c>
      <c r="K534" t="s">
        <v>122</v>
      </c>
      <c r="L534" t="s">
        <v>350</v>
      </c>
      <c r="M534" t="s">
        <v>2405</v>
      </c>
      <c r="N534" t="s">
        <v>2405</v>
      </c>
    </row>
    <row r="535" spans="1:14">
      <c r="A535" t="s">
        <v>2406</v>
      </c>
      <c r="B535" t="s">
        <v>2407</v>
      </c>
      <c r="C535" t="s">
        <v>2408</v>
      </c>
      <c r="D535" t="s">
        <v>2196</v>
      </c>
      <c r="E535" t="s">
        <v>343</v>
      </c>
      <c r="F535" t="s">
        <v>402</v>
      </c>
      <c r="G535" t="s">
        <v>402</v>
      </c>
      <c r="H535" t="s">
        <v>306</v>
      </c>
      <c r="I535" t="s">
        <v>612</v>
      </c>
      <c r="J535" t="s">
        <v>210</v>
      </c>
      <c r="K535" t="s">
        <v>122</v>
      </c>
      <c r="L535" t="s">
        <v>350</v>
      </c>
      <c r="M535" t="s">
        <v>2409</v>
      </c>
      <c r="N535" t="s">
        <v>2409</v>
      </c>
    </row>
    <row r="536" spans="1:14">
      <c r="A536" t="s">
        <v>2410</v>
      </c>
      <c r="B536" t="s">
        <v>540</v>
      </c>
      <c r="C536" t="s">
        <v>541</v>
      </c>
      <c r="D536" t="s">
        <v>2411</v>
      </c>
      <c r="E536" t="s">
        <v>335</v>
      </c>
      <c r="F536" t="s">
        <v>2411</v>
      </c>
      <c r="G536" t="s">
        <v>2411</v>
      </c>
      <c r="H536" t="s">
        <v>316</v>
      </c>
      <c r="I536" t="s">
        <v>317</v>
      </c>
      <c r="J536" t="s">
        <v>318</v>
      </c>
      <c r="K536" t="s">
        <v>122</v>
      </c>
      <c r="L536" t="s">
        <v>358</v>
      </c>
      <c r="M536" t="s">
        <v>2412</v>
      </c>
      <c r="N536" t="s">
        <v>2412</v>
      </c>
    </row>
    <row r="537" spans="1:14">
      <c r="A537" t="s">
        <v>2413</v>
      </c>
      <c r="B537" t="s">
        <v>2414</v>
      </c>
      <c r="C537" t="s">
        <v>2415</v>
      </c>
      <c r="D537" t="s">
        <v>2416</v>
      </c>
      <c r="E537" t="s">
        <v>335</v>
      </c>
      <c r="F537" t="s">
        <v>2416</v>
      </c>
      <c r="G537" t="s">
        <v>2416</v>
      </c>
      <c r="H537" t="s">
        <v>316</v>
      </c>
      <c r="I537" t="s">
        <v>317</v>
      </c>
      <c r="J537" t="s">
        <v>318</v>
      </c>
      <c r="K537" t="s">
        <v>122</v>
      </c>
      <c r="L537" t="s">
        <v>381</v>
      </c>
      <c r="M537" t="s">
        <v>2417</v>
      </c>
      <c r="N537" t="s">
        <v>2417</v>
      </c>
    </row>
    <row r="538" spans="1:14">
      <c r="A538" t="s">
        <v>2418</v>
      </c>
      <c r="B538" t="s">
        <v>2419</v>
      </c>
      <c r="C538" t="s">
        <v>2420</v>
      </c>
      <c r="D538" t="s">
        <v>2421</v>
      </c>
      <c r="E538" t="s">
        <v>343</v>
      </c>
      <c r="F538" t="s">
        <v>2421</v>
      </c>
      <c r="G538" t="s">
        <v>2421</v>
      </c>
      <c r="H538" t="s">
        <v>316</v>
      </c>
      <c r="I538" t="s">
        <v>317</v>
      </c>
      <c r="J538" t="s">
        <v>318</v>
      </c>
      <c r="K538" t="s">
        <v>122</v>
      </c>
      <c r="L538" t="s">
        <v>605</v>
      </c>
      <c r="M538" t="s">
        <v>2422</v>
      </c>
      <c r="N538" t="s">
        <v>2422</v>
      </c>
    </row>
    <row r="539" spans="1:14">
      <c r="A539" t="s">
        <v>2423</v>
      </c>
      <c r="B539" t="s">
        <v>434</v>
      </c>
      <c r="C539" t="s">
        <v>435</v>
      </c>
      <c r="D539" t="s">
        <v>2424</v>
      </c>
      <c r="E539" t="s">
        <v>335</v>
      </c>
      <c r="F539" t="s">
        <v>2424</v>
      </c>
      <c r="G539" t="s">
        <v>2424</v>
      </c>
      <c r="H539" t="s">
        <v>316</v>
      </c>
      <c r="I539" t="s">
        <v>317</v>
      </c>
      <c r="J539" t="s">
        <v>318</v>
      </c>
      <c r="K539" t="s">
        <v>122</v>
      </c>
      <c r="L539" t="s">
        <v>358</v>
      </c>
      <c r="M539" t="s">
        <v>2425</v>
      </c>
      <c r="N539" t="s">
        <v>2425</v>
      </c>
    </row>
    <row r="540" spans="1:14">
      <c r="A540" t="s">
        <v>2426</v>
      </c>
      <c r="B540" t="s">
        <v>2427</v>
      </c>
      <c r="C540" t="s">
        <v>2428</v>
      </c>
      <c r="D540" t="s">
        <v>1849</v>
      </c>
      <c r="E540" t="s">
        <v>611</v>
      </c>
      <c r="F540" t="s">
        <v>1849</v>
      </c>
      <c r="G540" t="s">
        <v>1849</v>
      </c>
      <c r="H540" t="s">
        <v>306</v>
      </c>
      <c r="I540" t="s">
        <v>307</v>
      </c>
      <c r="J540" t="s">
        <v>308</v>
      </c>
      <c r="K540" t="s">
        <v>122</v>
      </c>
      <c r="L540" t="s">
        <v>309</v>
      </c>
      <c r="M540" t="s">
        <v>2429</v>
      </c>
      <c r="N540" t="s">
        <v>2429</v>
      </c>
    </row>
    <row r="541" spans="1:14">
      <c r="A541" t="s">
        <v>2430</v>
      </c>
      <c r="B541" t="s">
        <v>2431</v>
      </c>
      <c r="C541" t="s">
        <v>2432</v>
      </c>
      <c r="D541" t="s">
        <v>2433</v>
      </c>
      <c r="E541" t="s">
        <v>325</v>
      </c>
      <c r="F541" t="s">
        <v>2433</v>
      </c>
      <c r="G541" t="s">
        <v>2433</v>
      </c>
      <c r="H541" t="s">
        <v>306</v>
      </c>
      <c r="I541" t="s">
        <v>307</v>
      </c>
      <c r="J541" t="s">
        <v>507</v>
      </c>
      <c r="K541" t="s">
        <v>122</v>
      </c>
      <c r="L541" t="s">
        <v>498</v>
      </c>
      <c r="M541" t="s">
        <v>2434</v>
      </c>
      <c r="N541" t="s">
        <v>2434</v>
      </c>
    </row>
    <row r="542" spans="1:14">
      <c r="A542" t="s">
        <v>2435</v>
      </c>
      <c r="B542" t="s">
        <v>2436</v>
      </c>
      <c r="C542" t="s">
        <v>2437</v>
      </c>
      <c r="D542" t="s">
        <v>2438</v>
      </c>
      <c r="E542" t="s">
        <v>325</v>
      </c>
      <c r="F542" t="s">
        <v>2438</v>
      </c>
      <c r="G542" t="s">
        <v>2438</v>
      </c>
      <c r="H542" t="s">
        <v>306</v>
      </c>
      <c r="I542" t="s">
        <v>307</v>
      </c>
      <c r="J542" t="s">
        <v>357</v>
      </c>
      <c r="K542" t="s">
        <v>486</v>
      </c>
      <c r="L542" t="s">
        <v>487</v>
      </c>
      <c r="M542" t="s">
        <v>2434</v>
      </c>
      <c r="N542" t="s">
        <v>2434</v>
      </c>
    </row>
    <row r="543" spans="1:14">
      <c r="A543" t="s">
        <v>2439</v>
      </c>
      <c r="B543" t="s">
        <v>771</v>
      </c>
      <c r="C543" t="s">
        <v>772</v>
      </c>
      <c r="D543" t="s">
        <v>2440</v>
      </c>
      <c r="E543" t="s">
        <v>325</v>
      </c>
      <c r="F543" t="s">
        <v>2440</v>
      </c>
      <c r="G543" t="s">
        <v>2440</v>
      </c>
      <c r="H543" t="s">
        <v>316</v>
      </c>
      <c r="I543" t="s">
        <v>531</v>
      </c>
      <c r="J543" t="s">
        <v>328</v>
      </c>
      <c r="K543" t="s">
        <v>122</v>
      </c>
      <c r="L543" t="s">
        <v>329</v>
      </c>
      <c r="M543" t="s">
        <v>2441</v>
      </c>
      <c r="N543" t="s">
        <v>2441</v>
      </c>
    </row>
    <row r="544" spans="1:14">
      <c r="A544" t="s">
        <v>2442</v>
      </c>
      <c r="B544" t="s">
        <v>1537</v>
      </c>
      <c r="C544" t="s">
        <v>1538</v>
      </c>
      <c r="D544" t="s">
        <v>1539</v>
      </c>
      <c r="E544" t="s">
        <v>305</v>
      </c>
      <c r="F544" t="s">
        <v>2443</v>
      </c>
      <c r="G544" t="s">
        <v>2443</v>
      </c>
      <c r="H544" t="s">
        <v>306</v>
      </c>
      <c r="I544" t="s">
        <v>307</v>
      </c>
      <c r="J544" t="s">
        <v>424</v>
      </c>
      <c r="K544" t="s">
        <v>122</v>
      </c>
      <c r="L544" t="s">
        <v>386</v>
      </c>
      <c r="M544" t="s">
        <v>2444</v>
      </c>
      <c r="N544" t="s">
        <v>2444</v>
      </c>
    </row>
    <row r="545" spans="1:14">
      <c r="A545" t="s">
        <v>2445</v>
      </c>
      <c r="B545" t="s">
        <v>2446</v>
      </c>
      <c r="C545" t="s">
        <v>2447</v>
      </c>
      <c r="D545" t="s">
        <v>846</v>
      </c>
      <c r="E545" t="s">
        <v>480</v>
      </c>
      <c r="F545" t="s">
        <v>846</v>
      </c>
      <c r="G545" t="s">
        <v>846</v>
      </c>
      <c r="H545" t="s">
        <v>306</v>
      </c>
      <c r="I545" t="s">
        <v>612</v>
      </c>
      <c r="J545" t="s">
        <v>424</v>
      </c>
      <c r="K545" t="s">
        <v>122</v>
      </c>
      <c r="L545" t="s">
        <v>498</v>
      </c>
      <c r="M545" t="s">
        <v>2448</v>
      </c>
      <c r="N545" t="s">
        <v>2448</v>
      </c>
    </row>
    <row r="546" spans="1:14">
      <c r="A546" t="s">
        <v>2449</v>
      </c>
      <c r="B546" t="s">
        <v>1047</v>
      </c>
      <c r="C546" t="s">
        <v>1048</v>
      </c>
      <c r="D546" t="s">
        <v>1921</v>
      </c>
      <c r="E546" t="s">
        <v>335</v>
      </c>
      <c r="F546" t="s">
        <v>1921</v>
      </c>
      <c r="G546" t="s">
        <v>1921</v>
      </c>
      <c r="H546" t="s">
        <v>316</v>
      </c>
      <c r="I546" t="s">
        <v>317</v>
      </c>
      <c r="J546" t="s">
        <v>318</v>
      </c>
      <c r="K546" t="s">
        <v>122</v>
      </c>
      <c r="L546" t="s">
        <v>386</v>
      </c>
      <c r="M546" t="s">
        <v>2450</v>
      </c>
      <c r="N546" t="s">
        <v>2450</v>
      </c>
    </row>
    <row r="547" spans="1:14">
      <c r="A547" t="s">
        <v>2451</v>
      </c>
      <c r="B547" t="s">
        <v>1909</v>
      </c>
      <c r="C547" t="s">
        <v>1910</v>
      </c>
      <c r="D547" t="s">
        <v>847</v>
      </c>
      <c r="E547" t="s">
        <v>335</v>
      </c>
      <c r="F547" t="s">
        <v>847</v>
      </c>
      <c r="G547" t="s">
        <v>847</v>
      </c>
      <c r="H547" t="s">
        <v>316</v>
      </c>
      <c r="I547" t="s">
        <v>317</v>
      </c>
      <c r="J547" t="s">
        <v>318</v>
      </c>
      <c r="K547" t="s">
        <v>122</v>
      </c>
      <c r="L547" t="s">
        <v>350</v>
      </c>
      <c r="M547" t="s">
        <v>2452</v>
      </c>
      <c r="N547" t="s">
        <v>2452</v>
      </c>
    </row>
    <row r="548" spans="1:14">
      <c r="A548" t="s">
        <v>2453</v>
      </c>
      <c r="B548" t="s">
        <v>620</v>
      </c>
      <c r="C548" t="s">
        <v>621</v>
      </c>
      <c r="D548" t="s">
        <v>812</v>
      </c>
      <c r="E548" t="s">
        <v>325</v>
      </c>
      <c r="F548" t="s">
        <v>812</v>
      </c>
      <c r="G548" t="s">
        <v>812</v>
      </c>
      <c r="H548" t="s">
        <v>306</v>
      </c>
      <c r="I548" t="s">
        <v>307</v>
      </c>
      <c r="J548" t="s">
        <v>424</v>
      </c>
      <c r="K548" t="s">
        <v>122</v>
      </c>
      <c r="L548" t="s">
        <v>386</v>
      </c>
      <c r="M548" t="s">
        <v>813</v>
      </c>
      <c r="N548" t="s">
        <v>813</v>
      </c>
    </row>
    <row r="549" spans="1:14">
      <c r="A549" t="s">
        <v>2454</v>
      </c>
      <c r="B549" t="s">
        <v>2455</v>
      </c>
      <c r="C549" t="s">
        <v>2456</v>
      </c>
      <c r="D549" t="s">
        <v>1289</v>
      </c>
      <c r="E549" t="s">
        <v>325</v>
      </c>
      <c r="F549" t="s">
        <v>1289</v>
      </c>
      <c r="G549" t="s">
        <v>1289</v>
      </c>
      <c r="H549" t="s">
        <v>326</v>
      </c>
      <c r="I549" t="s">
        <v>327</v>
      </c>
      <c r="J549" t="s">
        <v>397</v>
      </c>
      <c r="K549" t="s">
        <v>122</v>
      </c>
      <c r="L549" t="s">
        <v>381</v>
      </c>
      <c r="M549" t="s">
        <v>2457</v>
      </c>
      <c r="N549" t="s">
        <v>2457</v>
      </c>
    </row>
    <row r="550" spans="1:14">
      <c r="A550" t="s">
        <v>2458</v>
      </c>
      <c r="B550" t="s">
        <v>546</v>
      </c>
      <c r="C550" t="s">
        <v>547</v>
      </c>
      <c r="D550" t="s">
        <v>2459</v>
      </c>
      <c r="E550" t="s">
        <v>335</v>
      </c>
      <c r="F550" t="s">
        <v>2459</v>
      </c>
      <c r="G550" t="s">
        <v>2459</v>
      </c>
      <c r="H550" t="s">
        <v>316</v>
      </c>
      <c r="I550" t="s">
        <v>317</v>
      </c>
      <c r="J550" t="s">
        <v>318</v>
      </c>
      <c r="K550" t="s">
        <v>122</v>
      </c>
      <c r="L550" t="s">
        <v>381</v>
      </c>
      <c r="M550" t="s">
        <v>2460</v>
      </c>
      <c r="N550" t="s">
        <v>2460</v>
      </c>
    </row>
    <row r="551" spans="1:14">
      <c r="A551" t="s">
        <v>2461</v>
      </c>
      <c r="B551" t="s">
        <v>2462</v>
      </c>
      <c r="C551" t="s">
        <v>2463</v>
      </c>
      <c r="D551" t="s">
        <v>2464</v>
      </c>
      <c r="E551" t="s">
        <v>364</v>
      </c>
      <c r="F551" t="s">
        <v>2464</v>
      </c>
      <c r="G551" t="s">
        <v>2464</v>
      </c>
      <c r="H551" t="s">
        <v>316</v>
      </c>
      <c r="I551" t="s">
        <v>317</v>
      </c>
      <c r="J551" t="s">
        <v>318</v>
      </c>
      <c r="K551" t="s">
        <v>122</v>
      </c>
      <c r="L551" t="s">
        <v>368</v>
      </c>
      <c r="M551" t="s">
        <v>2465</v>
      </c>
      <c r="N551" t="s">
        <v>2465</v>
      </c>
    </row>
    <row r="552" spans="1:14">
      <c r="A552" t="s">
        <v>2466</v>
      </c>
      <c r="B552" t="s">
        <v>2467</v>
      </c>
      <c r="C552" t="s">
        <v>2468</v>
      </c>
      <c r="D552" t="s">
        <v>2469</v>
      </c>
      <c r="E552" t="s">
        <v>325</v>
      </c>
      <c r="F552" t="s">
        <v>2469</v>
      </c>
      <c r="G552" t="s">
        <v>2469</v>
      </c>
      <c r="H552" t="s">
        <v>306</v>
      </c>
      <c r="I552" t="s">
        <v>307</v>
      </c>
      <c r="J552" t="s">
        <v>424</v>
      </c>
      <c r="K552" t="s">
        <v>122</v>
      </c>
      <c r="L552" t="s">
        <v>498</v>
      </c>
      <c r="M552" t="s">
        <v>778</v>
      </c>
      <c r="N552" t="s">
        <v>778</v>
      </c>
    </row>
    <row r="553" spans="1:14">
      <c r="A553" t="s">
        <v>2470</v>
      </c>
      <c r="B553" t="s">
        <v>1670</v>
      </c>
      <c r="C553" t="s">
        <v>1671</v>
      </c>
      <c r="D553" t="s">
        <v>1697</v>
      </c>
      <c r="E553" t="s">
        <v>335</v>
      </c>
      <c r="F553" t="s">
        <v>1697</v>
      </c>
      <c r="G553" t="s">
        <v>1697</v>
      </c>
      <c r="H553" t="s">
        <v>316</v>
      </c>
      <c r="I553" t="s">
        <v>317</v>
      </c>
      <c r="J553" t="s">
        <v>424</v>
      </c>
      <c r="K553" t="s">
        <v>122</v>
      </c>
      <c r="L553" t="s">
        <v>381</v>
      </c>
      <c r="M553" t="s">
        <v>2471</v>
      </c>
      <c r="N553" t="s">
        <v>2471</v>
      </c>
    </row>
    <row r="554" spans="1:14">
      <c r="A554" t="s">
        <v>2472</v>
      </c>
      <c r="B554" t="s">
        <v>454</v>
      </c>
      <c r="C554" t="s">
        <v>455</v>
      </c>
      <c r="D554" t="s">
        <v>2207</v>
      </c>
      <c r="E554" t="s">
        <v>305</v>
      </c>
      <c r="F554" t="s">
        <v>2207</v>
      </c>
      <c r="G554" t="s">
        <v>2207</v>
      </c>
      <c r="H554" t="s">
        <v>431</v>
      </c>
      <c r="I554" t="s">
        <v>327</v>
      </c>
      <c r="J554" t="s">
        <v>357</v>
      </c>
      <c r="K554" t="s">
        <v>122</v>
      </c>
      <c r="L554" t="s">
        <v>358</v>
      </c>
      <c r="M554" t="s">
        <v>2473</v>
      </c>
      <c r="N554" t="s">
        <v>2473</v>
      </c>
    </row>
    <row r="555" spans="1:14">
      <c r="A555" t="s">
        <v>2474</v>
      </c>
      <c r="B555" t="s">
        <v>540</v>
      </c>
      <c r="C555" t="s">
        <v>541</v>
      </c>
      <c r="D555" t="s">
        <v>1270</v>
      </c>
      <c r="E555" t="s">
        <v>325</v>
      </c>
      <c r="F555" t="s">
        <v>1270</v>
      </c>
      <c r="G555" t="s">
        <v>1270</v>
      </c>
      <c r="H555" t="s">
        <v>431</v>
      </c>
      <c r="I555" t="s">
        <v>327</v>
      </c>
      <c r="J555" t="s">
        <v>357</v>
      </c>
      <c r="K555" t="s">
        <v>122</v>
      </c>
      <c r="L555" t="s">
        <v>327</v>
      </c>
      <c r="M555" t="s">
        <v>2475</v>
      </c>
      <c r="N555" t="s">
        <v>2475</v>
      </c>
    </row>
    <row r="556" spans="1:14">
      <c r="A556" t="s">
        <v>2476</v>
      </c>
      <c r="B556" t="s">
        <v>955</v>
      </c>
      <c r="C556" t="s">
        <v>956</v>
      </c>
      <c r="D556" t="s">
        <v>2477</v>
      </c>
      <c r="E556" t="s">
        <v>325</v>
      </c>
      <c r="F556" t="s">
        <v>2477</v>
      </c>
      <c r="G556" t="s">
        <v>2477</v>
      </c>
      <c r="H556" t="s">
        <v>326</v>
      </c>
      <c r="I556" t="s">
        <v>327</v>
      </c>
      <c r="J556" t="s">
        <v>424</v>
      </c>
      <c r="K556" t="s">
        <v>122</v>
      </c>
      <c r="L556" t="s">
        <v>386</v>
      </c>
      <c r="M556" t="s">
        <v>2478</v>
      </c>
      <c r="N556" t="s">
        <v>2478</v>
      </c>
    </row>
    <row r="557" spans="1:14">
      <c r="A557" t="s">
        <v>2479</v>
      </c>
      <c r="B557" t="s">
        <v>2480</v>
      </c>
      <c r="C557" t="s">
        <v>2481</v>
      </c>
      <c r="D557" t="s">
        <v>2482</v>
      </c>
      <c r="E557" t="s">
        <v>335</v>
      </c>
      <c r="F557" t="s">
        <v>2482</v>
      </c>
      <c r="G557" t="s">
        <v>2482</v>
      </c>
      <c r="H557" t="s">
        <v>316</v>
      </c>
      <c r="I557" t="s">
        <v>317</v>
      </c>
      <c r="J557" t="s">
        <v>318</v>
      </c>
      <c r="K557" t="s">
        <v>122</v>
      </c>
      <c r="L557" t="s">
        <v>368</v>
      </c>
      <c r="M557" t="s">
        <v>2483</v>
      </c>
      <c r="N557" t="s">
        <v>2483</v>
      </c>
    </row>
    <row r="558" spans="1:14">
      <c r="A558" t="s">
        <v>2484</v>
      </c>
      <c r="B558" t="s">
        <v>2485</v>
      </c>
      <c r="C558" t="s">
        <v>2486</v>
      </c>
      <c r="D558" t="s">
        <v>866</v>
      </c>
      <c r="E558" t="s">
        <v>335</v>
      </c>
      <c r="F558" t="s">
        <v>866</v>
      </c>
      <c r="G558" t="s">
        <v>866</v>
      </c>
      <c r="H558" t="s">
        <v>316</v>
      </c>
      <c r="I558" t="s">
        <v>317</v>
      </c>
      <c r="J558" t="s">
        <v>318</v>
      </c>
      <c r="K558" t="s">
        <v>122</v>
      </c>
      <c r="L558" t="s">
        <v>368</v>
      </c>
      <c r="M558" t="s">
        <v>2487</v>
      </c>
      <c r="N558" t="s">
        <v>2487</v>
      </c>
    </row>
    <row r="559" spans="1:14">
      <c r="A559" t="s">
        <v>2488</v>
      </c>
      <c r="B559" t="s">
        <v>2489</v>
      </c>
      <c r="C559" t="s">
        <v>2490</v>
      </c>
      <c r="D559" t="s">
        <v>2482</v>
      </c>
      <c r="E559" t="s">
        <v>335</v>
      </c>
      <c r="F559" t="s">
        <v>2482</v>
      </c>
      <c r="G559" t="s">
        <v>2482</v>
      </c>
      <c r="H559" t="s">
        <v>316</v>
      </c>
      <c r="I559" t="s">
        <v>317</v>
      </c>
      <c r="J559" t="s">
        <v>318</v>
      </c>
      <c r="K559" t="s">
        <v>122</v>
      </c>
      <c r="L559" t="s">
        <v>368</v>
      </c>
      <c r="M559" t="s">
        <v>2487</v>
      </c>
      <c r="N559" t="s">
        <v>2487</v>
      </c>
    </row>
    <row r="560" spans="1:14">
      <c r="A560" t="s">
        <v>2491</v>
      </c>
      <c r="B560" t="s">
        <v>2492</v>
      </c>
      <c r="C560" t="s">
        <v>2493</v>
      </c>
      <c r="D560" t="s">
        <v>866</v>
      </c>
      <c r="E560" t="s">
        <v>335</v>
      </c>
      <c r="F560" t="s">
        <v>866</v>
      </c>
      <c r="G560" t="s">
        <v>866</v>
      </c>
      <c r="H560" t="s">
        <v>316</v>
      </c>
      <c r="I560" t="s">
        <v>317</v>
      </c>
      <c r="J560" t="s">
        <v>318</v>
      </c>
      <c r="K560" t="s">
        <v>122</v>
      </c>
      <c r="L560" t="s">
        <v>368</v>
      </c>
      <c r="M560" t="s">
        <v>2487</v>
      </c>
      <c r="N560" t="s">
        <v>2487</v>
      </c>
    </row>
    <row r="561" spans="1:14">
      <c r="A561" t="s">
        <v>2494</v>
      </c>
      <c r="B561" t="s">
        <v>2495</v>
      </c>
      <c r="C561" t="s">
        <v>2496</v>
      </c>
      <c r="D561" t="s">
        <v>2497</v>
      </c>
      <c r="E561" t="s">
        <v>335</v>
      </c>
      <c r="F561" t="s">
        <v>2497</v>
      </c>
      <c r="G561" t="s">
        <v>2497</v>
      </c>
      <c r="H561" t="s">
        <v>316</v>
      </c>
      <c r="I561" t="s">
        <v>317</v>
      </c>
      <c r="J561" t="s">
        <v>308</v>
      </c>
      <c r="K561" t="s">
        <v>122</v>
      </c>
      <c r="L561" t="s">
        <v>822</v>
      </c>
      <c r="M561" t="s">
        <v>2498</v>
      </c>
      <c r="N561" t="s">
        <v>2498</v>
      </c>
    </row>
    <row r="562" spans="1:14">
      <c r="A562" t="s">
        <v>2499</v>
      </c>
      <c r="B562" t="s">
        <v>2500</v>
      </c>
      <c r="C562" t="s">
        <v>2501</v>
      </c>
      <c r="D562" t="s">
        <v>644</v>
      </c>
      <c r="E562" t="s">
        <v>315</v>
      </c>
      <c r="F562" t="s">
        <v>644</v>
      </c>
      <c r="G562" t="s">
        <v>644</v>
      </c>
      <c r="H562" t="s">
        <v>431</v>
      </c>
      <c r="I562" t="s">
        <v>327</v>
      </c>
      <c r="J562" t="s">
        <v>424</v>
      </c>
      <c r="K562" t="s">
        <v>122</v>
      </c>
      <c r="L562" t="s">
        <v>451</v>
      </c>
      <c r="M562" t="s">
        <v>2502</v>
      </c>
      <c r="N562" t="s">
        <v>2502</v>
      </c>
    </row>
    <row r="563" spans="1:14">
      <c r="A563" t="s">
        <v>2503</v>
      </c>
      <c r="B563" t="s">
        <v>2504</v>
      </c>
      <c r="C563" t="s">
        <v>2505</v>
      </c>
      <c r="D563" t="s">
        <v>2506</v>
      </c>
      <c r="E563" t="s">
        <v>364</v>
      </c>
      <c r="F563" t="s">
        <v>2506</v>
      </c>
      <c r="G563" t="s">
        <v>2506</v>
      </c>
      <c r="H563" t="s">
        <v>316</v>
      </c>
      <c r="I563" t="s">
        <v>317</v>
      </c>
      <c r="J563" t="s">
        <v>397</v>
      </c>
      <c r="K563" t="s">
        <v>122</v>
      </c>
      <c r="L563" t="s">
        <v>381</v>
      </c>
      <c r="M563" t="s">
        <v>2507</v>
      </c>
      <c r="N563" t="s">
        <v>2507</v>
      </c>
    </row>
    <row r="564" spans="1:14">
      <c r="A564" t="s">
        <v>2508</v>
      </c>
      <c r="B564" t="s">
        <v>322</v>
      </c>
      <c r="C564" t="s">
        <v>323</v>
      </c>
      <c r="D564" t="s">
        <v>2509</v>
      </c>
      <c r="E564" t="s">
        <v>1489</v>
      </c>
      <c r="F564" t="s">
        <v>2509</v>
      </c>
      <c r="G564" t="s">
        <v>2509</v>
      </c>
      <c r="H564" t="s">
        <v>316</v>
      </c>
      <c r="I564" t="s">
        <v>317</v>
      </c>
      <c r="J564" t="s">
        <v>418</v>
      </c>
      <c r="K564" t="s">
        <v>122</v>
      </c>
      <c r="L564" t="s">
        <v>386</v>
      </c>
      <c r="M564" t="s">
        <v>2510</v>
      </c>
      <c r="N564" t="s">
        <v>2510</v>
      </c>
    </row>
    <row r="565" spans="1:14">
      <c r="A565" t="s">
        <v>2511</v>
      </c>
      <c r="B565" t="s">
        <v>2512</v>
      </c>
      <c r="C565" t="s">
        <v>2513</v>
      </c>
      <c r="D565" t="s">
        <v>708</v>
      </c>
      <c r="E565" t="s">
        <v>335</v>
      </c>
      <c r="F565" t="s">
        <v>708</v>
      </c>
      <c r="G565" t="s">
        <v>708</v>
      </c>
      <c r="H565" t="s">
        <v>316</v>
      </c>
      <c r="I565" t="s">
        <v>317</v>
      </c>
      <c r="J565" t="s">
        <v>318</v>
      </c>
      <c r="K565" t="s">
        <v>122</v>
      </c>
      <c r="L565" t="s">
        <v>381</v>
      </c>
      <c r="M565" t="s">
        <v>2514</v>
      </c>
      <c r="N565" t="s">
        <v>2514</v>
      </c>
    </row>
    <row r="566" spans="1:14">
      <c r="A566" t="s">
        <v>2515</v>
      </c>
      <c r="B566" t="s">
        <v>2516</v>
      </c>
      <c r="C566" t="s">
        <v>2517</v>
      </c>
      <c r="D566" t="s">
        <v>2518</v>
      </c>
      <c r="E566" t="s">
        <v>611</v>
      </c>
      <c r="F566" t="s">
        <v>2518</v>
      </c>
      <c r="G566" t="s">
        <v>2518</v>
      </c>
      <c r="H566" t="s">
        <v>306</v>
      </c>
      <c r="I566" t="s">
        <v>307</v>
      </c>
      <c r="J566" t="s">
        <v>424</v>
      </c>
      <c r="K566" t="s">
        <v>122</v>
      </c>
      <c r="L566" t="s">
        <v>350</v>
      </c>
      <c r="M566" t="s">
        <v>2519</v>
      </c>
      <c r="N566" t="s">
        <v>2519</v>
      </c>
    </row>
    <row r="567" spans="1:14">
      <c r="A567" t="s">
        <v>2520</v>
      </c>
      <c r="B567" t="s">
        <v>2516</v>
      </c>
      <c r="C567" t="s">
        <v>2517</v>
      </c>
      <c r="D567" t="s">
        <v>2518</v>
      </c>
      <c r="E567" t="s">
        <v>611</v>
      </c>
      <c r="F567" t="s">
        <v>2518</v>
      </c>
      <c r="G567" t="s">
        <v>2518</v>
      </c>
      <c r="H567" t="s">
        <v>306</v>
      </c>
      <c r="I567" t="s">
        <v>307</v>
      </c>
      <c r="J567" t="s">
        <v>424</v>
      </c>
      <c r="K567" t="s">
        <v>122</v>
      </c>
      <c r="L567" t="s">
        <v>350</v>
      </c>
      <c r="M567" t="s">
        <v>2521</v>
      </c>
      <c r="N567" t="s">
        <v>2521</v>
      </c>
    </row>
    <row r="568" spans="1:14">
      <c r="A568" t="s">
        <v>2522</v>
      </c>
      <c r="B568" t="s">
        <v>1750</v>
      </c>
      <c r="C568" t="s">
        <v>1751</v>
      </c>
      <c r="D568" t="s">
        <v>2523</v>
      </c>
      <c r="E568" t="s">
        <v>325</v>
      </c>
      <c r="F568" t="s">
        <v>2523</v>
      </c>
      <c r="G568" t="s">
        <v>2523</v>
      </c>
      <c r="H568" t="s">
        <v>306</v>
      </c>
      <c r="I568" t="s">
        <v>612</v>
      </c>
      <c r="J568" t="s">
        <v>424</v>
      </c>
      <c r="K568" t="s">
        <v>122</v>
      </c>
      <c r="L568" t="s">
        <v>386</v>
      </c>
      <c r="M568" t="s">
        <v>2524</v>
      </c>
      <c r="N568" t="s">
        <v>2524</v>
      </c>
    </row>
    <row r="569" spans="1:14">
      <c r="A569" t="s">
        <v>2525</v>
      </c>
      <c r="B569" t="s">
        <v>2526</v>
      </c>
      <c r="C569" t="s">
        <v>2527</v>
      </c>
      <c r="D569" t="s">
        <v>2528</v>
      </c>
      <c r="E569" t="s">
        <v>325</v>
      </c>
      <c r="F569" t="s">
        <v>2528</v>
      </c>
      <c r="G569" t="s">
        <v>2528</v>
      </c>
      <c r="H569" t="s">
        <v>306</v>
      </c>
      <c r="I569" t="s">
        <v>307</v>
      </c>
      <c r="J569" t="s">
        <v>308</v>
      </c>
      <c r="K569" t="s">
        <v>122</v>
      </c>
      <c r="L569" t="s">
        <v>386</v>
      </c>
      <c r="M569" t="s">
        <v>2529</v>
      </c>
      <c r="N569" t="s">
        <v>2529</v>
      </c>
    </row>
    <row r="570" spans="1:14">
      <c r="A570" t="s">
        <v>2530</v>
      </c>
      <c r="B570" t="s">
        <v>929</v>
      </c>
      <c r="C570" t="s">
        <v>2531</v>
      </c>
      <c r="D570" t="s">
        <v>2285</v>
      </c>
      <c r="E570" t="s">
        <v>315</v>
      </c>
      <c r="F570" t="s">
        <v>2285</v>
      </c>
      <c r="G570" t="s">
        <v>2285</v>
      </c>
      <c r="H570" t="s">
        <v>306</v>
      </c>
      <c r="I570" t="s">
        <v>327</v>
      </c>
      <c r="J570" t="s">
        <v>318</v>
      </c>
      <c r="K570" t="s">
        <v>122</v>
      </c>
      <c r="L570" t="s">
        <v>309</v>
      </c>
      <c r="M570" t="s">
        <v>2532</v>
      </c>
      <c r="N570" t="s">
        <v>2532</v>
      </c>
    </row>
    <row r="571" spans="1:14">
      <c r="A571" t="s">
        <v>2533</v>
      </c>
      <c r="B571" t="s">
        <v>810</v>
      </c>
      <c r="C571" t="s">
        <v>2534</v>
      </c>
      <c r="D571" t="s">
        <v>1504</v>
      </c>
      <c r="E571" t="s">
        <v>325</v>
      </c>
      <c r="F571" t="s">
        <v>1504</v>
      </c>
      <c r="G571" t="s">
        <v>1504</v>
      </c>
      <c r="H571" t="s">
        <v>306</v>
      </c>
      <c r="I571" t="s">
        <v>327</v>
      </c>
      <c r="J571" t="s">
        <v>367</v>
      </c>
      <c r="K571" t="s">
        <v>122</v>
      </c>
      <c r="L571" t="s">
        <v>309</v>
      </c>
      <c r="M571" t="s">
        <v>1505</v>
      </c>
      <c r="N571" t="s">
        <v>1505</v>
      </c>
    </row>
    <row r="572" spans="1:14">
      <c r="A572" t="s">
        <v>2535</v>
      </c>
      <c r="B572" t="s">
        <v>556</v>
      </c>
      <c r="C572" t="s">
        <v>557</v>
      </c>
      <c r="D572" t="s">
        <v>2536</v>
      </c>
      <c r="E572" t="s">
        <v>364</v>
      </c>
      <c r="F572" t="s">
        <v>2536</v>
      </c>
      <c r="G572" t="s">
        <v>2536</v>
      </c>
      <c r="H572" t="s">
        <v>306</v>
      </c>
      <c r="I572" t="s">
        <v>307</v>
      </c>
      <c r="J572" t="s">
        <v>318</v>
      </c>
      <c r="K572" t="s">
        <v>122</v>
      </c>
      <c r="L572" t="s">
        <v>381</v>
      </c>
      <c r="M572" t="s">
        <v>2537</v>
      </c>
      <c r="N572" t="s">
        <v>2537</v>
      </c>
    </row>
    <row r="573" spans="1:14">
      <c r="A573" t="s">
        <v>2538</v>
      </c>
      <c r="B573" t="s">
        <v>2539</v>
      </c>
      <c r="C573" t="s">
        <v>2540</v>
      </c>
      <c r="D573" t="s">
        <v>2541</v>
      </c>
      <c r="E573" t="s">
        <v>325</v>
      </c>
      <c r="F573" t="s">
        <v>2541</v>
      </c>
      <c r="G573" t="s">
        <v>2541</v>
      </c>
      <c r="H573" t="s">
        <v>306</v>
      </c>
      <c r="I573" t="s">
        <v>307</v>
      </c>
      <c r="J573" t="s">
        <v>357</v>
      </c>
      <c r="K573" t="s">
        <v>122</v>
      </c>
      <c r="L573" t="s">
        <v>451</v>
      </c>
      <c r="M573" t="s">
        <v>2542</v>
      </c>
      <c r="N573" t="s">
        <v>2542</v>
      </c>
    </row>
    <row r="574" spans="1:14">
      <c r="A574" t="s">
        <v>2543</v>
      </c>
      <c r="B574" t="s">
        <v>1550</v>
      </c>
      <c r="C574" t="s">
        <v>1551</v>
      </c>
      <c r="D574" t="s">
        <v>2544</v>
      </c>
      <c r="E574" t="s">
        <v>325</v>
      </c>
      <c r="F574" t="s">
        <v>2544</v>
      </c>
      <c r="G574" t="s">
        <v>2544</v>
      </c>
      <c r="H574" t="s">
        <v>316</v>
      </c>
      <c r="I574" t="s">
        <v>317</v>
      </c>
      <c r="J574" t="s">
        <v>424</v>
      </c>
      <c r="K574" t="s">
        <v>122</v>
      </c>
      <c r="L574" t="s">
        <v>487</v>
      </c>
      <c r="M574" t="s">
        <v>2545</v>
      </c>
      <c r="N574" t="s">
        <v>2545</v>
      </c>
    </row>
    <row r="575" spans="1:14">
      <c r="A575" t="s">
        <v>2546</v>
      </c>
      <c r="B575" t="s">
        <v>1792</v>
      </c>
      <c r="C575" t="s">
        <v>2547</v>
      </c>
      <c r="D575" t="s">
        <v>724</v>
      </c>
      <c r="E575" t="s">
        <v>325</v>
      </c>
      <c r="F575" t="s">
        <v>724</v>
      </c>
      <c r="G575" t="s">
        <v>724</v>
      </c>
      <c r="H575" t="s">
        <v>306</v>
      </c>
      <c r="I575" t="s">
        <v>307</v>
      </c>
      <c r="J575" t="s">
        <v>397</v>
      </c>
      <c r="K575" t="s">
        <v>122</v>
      </c>
      <c r="L575" t="s">
        <v>381</v>
      </c>
      <c r="M575" t="s">
        <v>2548</v>
      </c>
      <c r="N575" t="s">
        <v>2548</v>
      </c>
    </row>
    <row r="576" spans="1:14">
      <c r="A576" t="s">
        <v>2549</v>
      </c>
      <c r="B576" t="s">
        <v>322</v>
      </c>
      <c r="C576" t="s">
        <v>323</v>
      </c>
      <c r="D576" t="s">
        <v>2550</v>
      </c>
      <c r="E576" t="s">
        <v>325</v>
      </c>
      <c r="F576" t="s">
        <v>2550</v>
      </c>
      <c r="G576" t="s">
        <v>2550</v>
      </c>
      <c r="H576" t="s">
        <v>431</v>
      </c>
      <c r="I576" t="s">
        <v>327</v>
      </c>
      <c r="J576" t="s">
        <v>944</v>
      </c>
      <c r="K576" t="s">
        <v>122</v>
      </c>
      <c r="L576" t="s">
        <v>329</v>
      </c>
      <c r="M576" t="s">
        <v>2551</v>
      </c>
      <c r="N576" t="s">
        <v>2551</v>
      </c>
    </row>
    <row r="577" spans="1:14">
      <c r="A577" t="s">
        <v>2552</v>
      </c>
      <c r="B577" t="s">
        <v>590</v>
      </c>
      <c r="C577" t="s">
        <v>591</v>
      </c>
      <c r="D577" t="s">
        <v>592</v>
      </c>
      <c r="E577" t="s">
        <v>335</v>
      </c>
      <c r="F577" t="s">
        <v>592</v>
      </c>
      <c r="G577" t="s">
        <v>592</v>
      </c>
      <c r="H577" t="s">
        <v>316</v>
      </c>
      <c r="I577" t="s">
        <v>317</v>
      </c>
      <c r="J577" t="s">
        <v>318</v>
      </c>
      <c r="K577" t="s">
        <v>122</v>
      </c>
      <c r="L577" t="s">
        <v>381</v>
      </c>
      <c r="M577" t="s">
        <v>2553</v>
      </c>
      <c r="N577" t="s">
        <v>2553</v>
      </c>
    </row>
    <row r="578" spans="1:14">
      <c r="A578" t="s">
        <v>2554</v>
      </c>
      <c r="B578" t="s">
        <v>469</v>
      </c>
      <c r="C578" t="s">
        <v>470</v>
      </c>
      <c r="D578" t="s">
        <v>2555</v>
      </c>
      <c r="E578" t="s">
        <v>325</v>
      </c>
      <c r="F578" t="s">
        <v>2555</v>
      </c>
      <c r="G578" t="s">
        <v>2555</v>
      </c>
      <c r="H578" t="s">
        <v>306</v>
      </c>
      <c r="I578" t="s">
        <v>307</v>
      </c>
      <c r="J578" t="s">
        <v>328</v>
      </c>
      <c r="K578" t="s">
        <v>122</v>
      </c>
      <c r="L578" t="s">
        <v>329</v>
      </c>
      <c r="M578" t="s">
        <v>2556</v>
      </c>
      <c r="N578" t="s">
        <v>2556</v>
      </c>
    </row>
    <row r="579" spans="1:14">
      <c r="A579" t="s">
        <v>2557</v>
      </c>
      <c r="B579" t="s">
        <v>2558</v>
      </c>
      <c r="C579" t="s">
        <v>2559</v>
      </c>
      <c r="D579" t="s">
        <v>2560</v>
      </c>
      <c r="E579" t="s">
        <v>325</v>
      </c>
      <c r="F579" t="s">
        <v>2560</v>
      </c>
      <c r="G579" t="s">
        <v>2560</v>
      </c>
      <c r="H579" t="s">
        <v>316</v>
      </c>
      <c r="I579" t="s">
        <v>317</v>
      </c>
      <c r="J579" t="s">
        <v>357</v>
      </c>
      <c r="K579" t="s">
        <v>122</v>
      </c>
      <c r="L579" t="s">
        <v>386</v>
      </c>
      <c r="M579" t="s">
        <v>2561</v>
      </c>
      <c r="N579" t="s">
        <v>2561</v>
      </c>
    </row>
    <row r="580" spans="1:14">
      <c r="A580" t="s">
        <v>2562</v>
      </c>
      <c r="B580" t="s">
        <v>880</v>
      </c>
      <c r="C580" t="s">
        <v>881</v>
      </c>
      <c r="D580" t="s">
        <v>1806</v>
      </c>
      <c r="E580" t="s">
        <v>611</v>
      </c>
      <c r="F580" t="s">
        <v>1806</v>
      </c>
      <c r="G580" t="s">
        <v>1806</v>
      </c>
      <c r="H580" t="s">
        <v>431</v>
      </c>
      <c r="I580" t="s">
        <v>327</v>
      </c>
      <c r="J580" t="s">
        <v>418</v>
      </c>
      <c r="K580" t="s">
        <v>122</v>
      </c>
      <c r="L580" t="s">
        <v>451</v>
      </c>
      <c r="M580" t="s">
        <v>2563</v>
      </c>
      <c r="N580" t="s">
        <v>2563</v>
      </c>
    </row>
    <row r="581" spans="1:14">
      <c r="A581" t="s">
        <v>2564</v>
      </c>
      <c r="B581" t="s">
        <v>2565</v>
      </c>
      <c r="C581" t="s">
        <v>2566</v>
      </c>
      <c r="D581" t="s">
        <v>2567</v>
      </c>
      <c r="E581" t="s">
        <v>325</v>
      </c>
      <c r="F581" t="s">
        <v>2567</v>
      </c>
      <c r="G581" t="s">
        <v>2567</v>
      </c>
      <c r="H581" t="s">
        <v>306</v>
      </c>
      <c r="I581" t="s">
        <v>307</v>
      </c>
      <c r="J581" t="s">
        <v>357</v>
      </c>
      <c r="K581" t="s">
        <v>486</v>
      </c>
      <c r="L581" t="s">
        <v>487</v>
      </c>
      <c r="M581" t="s">
        <v>2568</v>
      </c>
      <c r="N581" t="s">
        <v>2568</v>
      </c>
    </row>
    <row r="582" spans="1:14">
      <c r="A582" t="s">
        <v>2569</v>
      </c>
      <c r="B582" t="s">
        <v>939</v>
      </c>
      <c r="C582" t="s">
        <v>940</v>
      </c>
      <c r="D582" t="s">
        <v>2570</v>
      </c>
      <c r="E582" t="s">
        <v>325</v>
      </c>
      <c r="F582" t="s">
        <v>2570</v>
      </c>
      <c r="G582" t="s">
        <v>2570</v>
      </c>
      <c r="H582" t="s">
        <v>431</v>
      </c>
      <c r="I582" t="s">
        <v>327</v>
      </c>
      <c r="J582" t="s">
        <v>357</v>
      </c>
      <c r="K582" t="s">
        <v>122</v>
      </c>
      <c r="L582" t="s">
        <v>386</v>
      </c>
      <c r="M582" t="s">
        <v>2571</v>
      </c>
      <c r="N582" t="s">
        <v>2571</v>
      </c>
    </row>
    <row r="583" spans="1:14">
      <c r="A583" t="s">
        <v>2572</v>
      </c>
      <c r="B583" t="s">
        <v>939</v>
      </c>
      <c r="C583" t="s">
        <v>940</v>
      </c>
      <c r="D583" t="s">
        <v>2570</v>
      </c>
      <c r="E583" t="s">
        <v>325</v>
      </c>
      <c r="F583" t="s">
        <v>2570</v>
      </c>
      <c r="G583" t="s">
        <v>2570</v>
      </c>
      <c r="H583" t="s">
        <v>431</v>
      </c>
      <c r="I583" t="s">
        <v>327</v>
      </c>
      <c r="J583" t="s">
        <v>357</v>
      </c>
      <c r="K583" t="s">
        <v>122</v>
      </c>
      <c r="L583" t="s">
        <v>386</v>
      </c>
      <c r="M583" t="s">
        <v>2571</v>
      </c>
      <c r="N583" t="s">
        <v>2571</v>
      </c>
    </row>
    <row r="584" spans="1:14">
      <c r="A584" t="s">
        <v>2573</v>
      </c>
      <c r="B584" t="s">
        <v>2574</v>
      </c>
      <c r="C584" t="s">
        <v>2575</v>
      </c>
      <c r="D584" t="s">
        <v>2576</v>
      </c>
      <c r="E584" t="s">
        <v>335</v>
      </c>
      <c r="F584" t="s">
        <v>2576</v>
      </c>
      <c r="G584" t="s">
        <v>2576</v>
      </c>
      <c r="H584" t="s">
        <v>316</v>
      </c>
      <c r="I584" t="s">
        <v>317</v>
      </c>
      <c r="J584" t="s">
        <v>318</v>
      </c>
      <c r="K584" t="s">
        <v>122</v>
      </c>
      <c r="L584" t="s">
        <v>381</v>
      </c>
      <c r="M584" t="s">
        <v>2577</v>
      </c>
      <c r="N584" t="s">
        <v>2577</v>
      </c>
    </row>
    <row r="585" spans="1:14">
      <c r="A585" t="s">
        <v>2578</v>
      </c>
      <c r="B585" t="s">
        <v>2579</v>
      </c>
      <c r="C585" t="s">
        <v>2580</v>
      </c>
      <c r="D585" t="s">
        <v>2581</v>
      </c>
      <c r="E585" t="s">
        <v>343</v>
      </c>
      <c r="F585" t="s">
        <v>2581</v>
      </c>
      <c r="G585" t="s">
        <v>2581</v>
      </c>
      <c r="H585" t="s">
        <v>326</v>
      </c>
      <c r="I585" t="s">
        <v>327</v>
      </c>
      <c r="J585" t="s">
        <v>318</v>
      </c>
      <c r="K585" t="s">
        <v>122</v>
      </c>
      <c r="L585" t="s">
        <v>498</v>
      </c>
      <c r="M585" t="s">
        <v>2582</v>
      </c>
      <c r="N585" t="s">
        <v>2582</v>
      </c>
    </row>
    <row r="586" spans="1:14">
      <c r="A586" t="s">
        <v>2583</v>
      </c>
      <c r="B586" t="s">
        <v>2584</v>
      </c>
      <c r="C586" t="s">
        <v>2585</v>
      </c>
      <c r="D586" t="s">
        <v>1728</v>
      </c>
      <c r="E586" t="s">
        <v>335</v>
      </c>
      <c r="F586" t="s">
        <v>1728</v>
      </c>
      <c r="G586" t="s">
        <v>1728</v>
      </c>
      <c r="H586" t="s">
        <v>316</v>
      </c>
      <c r="I586" t="s">
        <v>317</v>
      </c>
      <c r="J586" t="s">
        <v>318</v>
      </c>
      <c r="K586" t="s">
        <v>122</v>
      </c>
      <c r="L586" t="s">
        <v>498</v>
      </c>
      <c r="M586" t="s">
        <v>2586</v>
      </c>
      <c r="N586" t="s">
        <v>2586</v>
      </c>
    </row>
    <row r="587" spans="1:14">
      <c r="A587" t="s">
        <v>2587</v>
      </c>
      <c r="B587" t="s">
        <v>2588</v>
      </c>
      <c r="C587" t="s">
        <v>2589</v>
      </c>
      <c r="D587" t="s">
        <v>456</v>
      </c>
      <c r="E587" t="s">
        <v>335</v>
      </c>
      <c r="F587" t="s">
        <v>456</v>
      </c>
      <c r="G587" t="s">
        <v>456</v>
      </c>
      <c r="H587" t="s">
        <v>316</v>
      </c>
      <c r="I587" t="s">
        <v>317</v>
      </c>
      <c r="J587" t="s">
        <v>308</v>
      </c>
      <c r="K587" t="s">
        <v>122</v>
      </c>
      <c r="L587" t="s">
        <v>381</v>
      </c>
      <c r="M587" t="s">
        <v>2590</v>
      </c>
      <c r="N587" t="s">
        <v>2590</v>
      </c>
    </row>
    <row r="588" spans="1:14">
      <c r="A588" t="s">
        <v>2591</v>
      </c>
      <c r="B588" t="s">
        <v>454</v>
      </c>
      <c r="C588" t="s">
        <v>455</v>
      </c>
      <c r="D588" t="s">
        <v>898</v>
      </c>
      <c r="E588" t="s">
        <v>325</v>
      </c>
      <c r="F588" t="s">
        <v>898</v>
      </c>
      <c r="G588" t="s">
        <v>898</v>
      </c>
      <c r="H588" t="s">
        <v>306</v>
      </c>
      <c r="I588" t="s">
        <v>307</v>
      </c>
      <c r="J588" t="s">
        <v>357</v>
      </c>
      <c r="K588" t="s">
        <v>122</v>
      </c>
      <c r="L588" t="s">
        <v>386</v>
      </c>
      <c r="M588" t="s">
        <v>2592</v>
      </c>
      <c r="N588" t="s">
        <v>2592</v>
      </c>
    </row>
    <row r="589" spans="1:14">
      <c r="A589" t="s">
        <v>2593</v>
      </c>
      <c r="B589" t="s">
        <v>551</v>
      </c>
      <c r="C589" t="s">
        <v>2594</v>
      </c>
      <c r="D589" t="s">
        <v>1504</v>
      </c>
      <c r="E589" t="s">
        <v>325</v>
      </c>
      <c r="F589" t="s">
        <v>882</v>
      </c>
      <c r="G589" t="s">
        <v>882</v>
      </c>
      <c r="H589" t="s">
        <v>306</v>
      </c>
      <c r="I589" t="s">
        <v>307</v>
      </c>
      <c r="J589" t="s">
        <v>328</v>
      </c>
      <c r="K589" t="s">
        <v>122</v>
      </c>
      <c r="L589" t="s">
        <v>368</v>
      </c>
      <c r="M589" t="s">
        <v>2595</v>
      </c>
      <c r="N589" t="s">
        <v>2595</v>
      </c>
    </row>
    <row r="590" spans="1:14">
      <c r="A590" t="s">
        <v>2596</v>
      </c>
      <c r="B590" t="s">
        <v>454</v>
      </c>
      <c r="C590" t="s">
        <v>455</v>
      </c>
      <c r="D590" t="s">
        <v>2597</v>
      </c>
      <c r="E590" t="s">
        <v>325</v>
      </c>
      <c r="F590" t="s">
        <v>2597</v>
      </c>
      <c r="G590" t="s">
        <v>2597</v>
      </c>
      <c r="H590" t="s">
        <v>306</v>
      </c>
      <c r="I590" t="s">
        <v>307</v>
      </c>
      <c r="J590" t="s">
        <v>357</v>
      </c>
      <c r="K590" t="s">
        <v>122</v>
      </c>
      <c r="L590" t="s">
        <v>386</v>
      </c>
      <c r="M590" t="s">
        <v>2598</v>
      </c>
      <c r="N590" t="s">
        <v>2598</v>
      </c>
    </row>
    <row r="591" spans="1:14">
      <c r="A591" t="s">
        <v>2599</v>
      </c>
      <c r="B591" t="s">
        <v>434</v>
      </c>
      <c r="C591" t="s">
        <v>435</v>
      </c>
      <c r="D591" t="s">
        <v>1921</v>
      </c>
      <c r="E591" t="s">
        <v>335</v>
      </c>
      <c r="F591" t="s">
        <v>1921</v>
      </c>
      <c r="G591" t="s">
        <v>1921</v>
      </c>
      <c r="H591" t="s">
        <v>316</v>
      </c>
      <c r="I591" t="s">
        <v>317</v>
      </c>
      <c r="J591" t="s">
        <v>318</v>
      </c>
      <c r="K591" t="s">
        <v>122</v>
      </c>
      <c r="L591" t="s">
        <v>381</v>
      </c>
      <c r="M591" t="s">
        <v>2600</v>
      </c>
      <c r="N591" t="s">
        <v>2600</v>
      </c>
    </row>
    <row r="592" spans="1:14">
      <c r="A592" t="s">
        <v>2601</v>
      </c>
      <c r="B592" t="s">
        <v>2602</v>
      </c>
      <c r="C592" t="s">
        <v>2603</v>
      </c>
      <c r="D592" t="s">
        <v>2604</v>
      </c>
      <c r="E592" t="s">
        <v>1026</v>
      </c>
      <c r="F592" t="s">
        <v>2604</v>
      </c>
      <c r="G592" t="s">
        <v>2604</v>
      </c>
      <c r="H592" t="s">
        <v>316</v>
      </c>
      <c r="I592" t="s">
        <v>317</v>
      </c>
      <c r="J592" t="s">
        <v>308</v>
      </c>
      <c r="K592" t="s">
        <v>122</v>
      </c>
      <c r="L592" t="s">
        <v>791</v>
      </c>
      <c r="M592" t="s">
        <v>2605</v>
      </c>
      <c r="N592" t="s">
        <v>2605</v>
      </c>
    </row>
    <row r="593" spans="1:14">
      <c r="A593" t="s">
        <v>2606</v>
      </c>
      <c r="B593" t="s">
        <v>454</v>
      </c>
      <c r="C593" t="s">
        <v>455</v>
      </c>
      <c r="D593" t="s">
        <v>2607</v>
      </c>
      <c r="E593" t="s">
        <v>343</v>
      </c>
      <c r="F593" t="s">
        <v>2607</v>
      </c>
      <c r="G593" t="s">
        <v>2607</v>
      </c>
      <c r="H593" t="s">
        <v>316</v>
      </c>
      <c r="I593" t="s">
        <v>317</v>
      </c>
      <c r="J593" t="s">
        <v>308</v>
      </c>
      <c r="K593" t="s">
        <v>122</v>
      </c>
      <c r="L593" t="s">
        <v>350</v>
      </c>
      <c r="M593" t="s">
        <v>2608</v>
      </c>
      <c r="N593" t="s">
        <v>2608</v>
      </c>
    </row>
    <row r="594" spans="1:14">
      <c r="A594" t="s">
        <v>2609</v>
      </c>
      <c r="B594" t="s">
        <v>2610</v>
      </c>
      <c r="C594" t="s">
        <v>2611</v>
      </c>
      <c r="D594" t="s">
        <v>2612</v>
      </c>
      <c r="E594" t="s">
        <v>305</v>
      </c>
      <c r="F594" t="s">
        <v>2612</v>
      </c>
      <c r="G594" t="s">
        <v>2612</v>
      </c>
      <c r="H594" t="s">
        <v>326</v>
      </c>
      <c r="I594" t="s">
        <v>327</v>
      </c>
      <c r="J594" t="s">
        <v>424</v>
      </c>
      <c r="K594" t="s">
        <v>122</v>
      </c>
      <c r="L594" t="s">
        <v>381</v>
      </c>
      <c r="M594" t="s">
        <v>2613</v>
      </c>
      <c r="N594" t="s">
        <v>2613</v>
      </c>
    </row>
    <row r="595" spans="1:14">
      <c r="A595" t="s">
        <v>2614</v>
      </c>
      <c r="B595" t="s">
        <v>2615</v>
      </c>
      <c r="C595" t="s">
        <v>2616</v>
      </c>
      <c r="D595" t="s">
        <v>2617</v>
      </c>
      <c r="E595" t="s">
        <v>335</v>
      </c>
      <c r="F595" t="s">
        <v>2617</v>
      </c>
      <c r="G595" t="s">
        <v>2617</v>
      </c>
      <c r="H595" t="s">
        <v>316</v>
      </c>
      <c r="I595" t="s">
        <v>317</v>
      </c>
      <c r="J595" t="s">
        <v>318</v>
      </c>
      <c r="K595" t="s">
        <v>122</v>
      </c>
      <c r="L595" t="s">
        <v>381</v>
      </c>
      <c r="M595" t="s">
        <v>2618</v>
      </c>
      <c r="N595" t="s">
        <v>2618</v>
      </c>
    </row>
    <row r="596" spans="1:14">
      <c r="A596" t="s">
        <v>2619</v>
      </c>
      <c r="B596" t="s">
        <v>2620</v>
      </c>
      <c r="C596" t="s">
        <v>2621</v>
      </c>
      <c r="D596" t="s">
        <v>2622</v>
      </c>
      <c r="E596" t="s">
        <v>335</v>
      </c>
      <c r="F596" t="s">
        <v>2622</v>
      </c>
      <c r="G596" t="s">
        <v>2622</v>
      </c>
      <c r="H596" t="s">
        <v>316</v>
      </c>
      <c r="I596" t="s">
        <v>317</v>
      </c>
      <c r="J596" t="s">
        <v>318</v>
      </c>
      <c r="K596" t="s">
        <v>122</v>
      </c>
      <c r="L596" t="s">
        <v>368</v>
      </c>
      <c r="M596" t="s">
        <v>2623</v>
      </c>
      <c r="N596" t="s">
        <v>2623</v>
      </c>
    </row>
    <row r="597" spans="1:14">
      <c r="A597" t="s">
        <v>2624</v>
      </c>
      <c r="B597" t="s">
        <v>2625</v>
      </c>
      <c r="C597" t="s">
        <v>2626</v>
      </c>
      <c r="D597" t="s">
        <v>2627</v>
      </c>
      <c r="E597" t="s">
        <v>335</v>
      </c>
      <c r="F597" t="s">
        <v>2627</v>
      </c>
      <c r="G597" t="s">
        <v>2627</v>
      </c>
      <c r="H597" t="s">
        <v>316</v>
      </c>
      <c r="I597" t="s">
        <v>531</v>
      </c>
      <c r="J597" t="s">
        <v>318</v>
      </c>
      <c r="K597" t="s">
        <v>122</v>
      </c>
      <c r="L597" t="s">
        <v>368</v>
      </c>
      <c r="M597" t="s">
        <v>2628</v>
      </c>
      <c r="N597" t="s">
        <v>2628</v>
      </c>
    </row>
    <row r="598" spans="1:14">
      <c r="A598" t="s">
        <v>2629</v>
      </c>
      <c r="B598" t="s">
        <v>322</v>
      </c>
      <c r="C598" t="s">
        <v>323</v>
      </c>
      <c r="D598" t="s">
        <v>2630</v>
      </c>
      <c r="E598" t="s">
        <v>325</v>
      </c>
      <c r="F598" t="s">
        <v>2630</v>
      </c>
      <c r="G598" t="s">
        <v>2630</v>
      </c>
      <c r="H598" t="s">
        <v>306</v>
      </c>
      <c r="I598" t="s">
        <v>307</v>
      </c>
      <c r="J598" t="s">
        <v>328</v>
      </c>
      <c r="K598" t="s">
        <v>122</v>
      </c>
      <c r="L598" t="s">
        <v>329</v>
      </c>
      <c r="M598" t="s">
        <v>2631</v>
      </c>
      <c r="N598" t="s">
        <v>2631</v>
      </c>
    </row>
    <row r="599" spans="1:14">
      <c r="A599" t="s">
        <v>2632</v>
      </c>
      <c r="B599" t="s">
        <v>712</v>
      </c>
      <c r="C599" t="s">
        <v>713</v>
      </c>
      <c r="D599" t="s">
        <v>660</v>
      </c>
      <c r="E599" t="s">
        <v>315</v>
      </c>
      <c r="F599" t="s">
        <v>660</v>
      </c>
      <c r="G599" t="s">
        <v>660</v>
      </c>
      <c r="H599" t="s">
        <v>316</v>
      </c>
      <c r="I599" t="s">
        <v>317</v>
      </c>
      <c r="J599" t="s">
        <v>418</v>
      </c>
      <c r="K599" t="s">
        <v>122</v>
      </c>
      <c r="L599" t="s">
        <v>386</v>
      </c>
      <c r="M599" t="s">
        <v>2633</v>
      </c>
      <c r="N599" t="s">
        <v>2633</v>
      </c>
    </row>
    <row r="600" spans="1:14">
      <c r="A600" t="s">
        <v>2634</v>
      </c>
      <c r="B600" t="s">
        <v>947</v>
      </c>
      <c r="C600" t="s">
        <v>2635</v>
      </c>
      <c r="D600" t="s">
        <v>2636</v>
      </c>
      <c r="E600" t="s">
        <v>325</v>
      </c>
      <c r="F600" t="s">
        <v>2636</v>
      </c>
      <c r="G600" t="s">
        <v>2636</v>
      </c>
      <c r="H600" t="s">
        <v>306</v>
      </c>
      <c r="I600" t="s">
        <v>307</v>
      </c>
      <c r="J600" t="s">
        <v>328</v>
      </c>
      <c r="K600" t="s">
        <v>122</v>
      </c>
      <c r="L600" t="s">
        <v>329</v>
      </c>
      <c r="M600" t="s">
        <v>2637</v>
      </c>
      <c r="N600" t="s">
        <v>2637</v>
      </c>
    </row>
    <row r="601" spans="1:14">
      <c r="A601" t="s">
        <v>2638</v>
      </c>
      <c r="B601" t="s">
        <v>556</v>
      </c>
      <c r="C601" t="s">
        <v>557</v>
      </c>
      <c r="D601" t="s">
        <v>2639</v>
      </c>
      <c r="E601" t="s">
        <v>343</v>
      </c>
      <c r="F601" t="s">
        <v>2639</v>
      </c>
      <c r="G601" t="s">
        <v>2639</v>
      </c>
      <c r="H601" t="s">
        <v>306</v>
      </c>
      <c r="I601" t="s">
        <v>307</v>
      </c>
      <c r="J601" t="s">
        <v>376</v>
      </c>
      <c r="K601" t="s">
        <v>122</v>
      </c>
      <c r="L601" t="s">
        <v>381</v>
      </c>
      <c r="M601" t="s">
        <v>2640</v>
      </c>
      <c r="N601" t="s">
        <v>2640</v>
      </c>
    </row>
    <row r="602" spans="1:14">
      <c r="A602" t="s">
        <v>2641</v>
      </c>
      <c r="B602" t="s">
        <v>534</v>
      </c>
      <c r="C602" t="s">
        <v>535</v>
      </c>
      <c r="D602" t="s">
        <v>2642</v>
      </c>
      <c r="E602" t="s">
        <v>364</v>
      </c>
      <c r="F602" t="s">
        <v>2642</v>
      </c>
      <c r="G602" t="s">
        <v>2642</v>
      </c>
      <c r="H602" t="s">
        <v>306</v>
      </c>
      <c r="I602" t="s">
        <v>307</v>
      </c>
      <c r="J602" t="s">
        <v>397</v>
      </c>
      <c r="K602" t="s">
        <v>122</v>
      </c>
      <c r="L602" t="s">
        <v>329</v>
      </c>
      <c r="M602" t="s">
        <v>2643</v>
      </c>
      <c r="N602" t="s">
        <v>2643</v>
      </c>
    </row>
    <row r="603" spans="1:14">
      <c r="A603" t="s">
        <v>76</v>
      </c>
      <c r="B603" t="s">
        <v>2644</v>
      </c>
      <c r="C603" t="s">
        <v>2645</v>
      </c>
      <c r="D603" t="s">
        <v>349</v>
      </c>
      <c r="E603" t="s">
        <v>315</v>
      </c>
      <c r="F603" t="s">
        <v>349</v>
      </c>
      <c r="G603" t="s">
        <v>349</v>
      </c>
      <c r="H603" t="s">
        <v>306</v>
      </c>
      <c r="I603" t="s">
        <v>612</v>
      </c>
      <c r="J603" t="s">
        <v>210</v>
      </c>
      <c r="K603" t="s">
        <v>122</v>
      </c>
      <c r="L603" t="s">
        <v>344</v>
      </c>
      <c r="M603" t="s">
        <v>2646</v>
      </c>
      <c r="N603" t="s">
        <v>2646</v>
      </c>
    </row>
    <row r="604" spans="1:14">
      <c r="A604" t="s">
        <v>2647</v>
      </c>
      <c r="B604" t="s">
        <v>939</v>
      </c>
      <c r="C604" t="s">
        <v>940</v>
      </c>
      <c r="D604" t="s">
        <v>2648</v>
      </c>
      <c r="E604" t="s">
        <v>335</v>
      </c>
      <c r="F604" t="s">
        <v>2648</v>
      </c>
      <c r="G604" t="s">
        <v>2648</v>
      </c>
      <c r="H604" t="s">
        <v>316</v>
      </c>
      <c r="I604" t="s">
        <v>317</v>
      </c>
      <c r="J604" t="s">
        <v>376</v>
      </c>
      <c r="K604" t="s">
        <v>122</v>
      </c>
      <c r="L604" t="s">
        <v>498</v>
      </c>
      <c r="M604" t="s">
        <v>2649</v>
      </c>
      <c r="N604" t="s">
        <v>2649</v>
      </c>
    </row>
    <row r="605" spans="1:14">
      <c r="A605" t="s">
        <v>2650</v>
      </c>
      <c r="B605" t="s">
        <v>2651</v>
      </c>
      <c r="C605" t="s">
        <v>2652</v>
      </c>
      <c r="D605" t="s">
        <v>2653</v>
      </c>
      <c r="E605" t="s">
        <v>364</v>
      </c>
      <c r="F605" t="s">
        <v>2653</v>
      </c>
      <c r="G605" t="s">
        <v>2653</v>
      </c>
      <c r="H605" t="s">
        <v>316</v>
      </c>
      <c r="I605" t="s">
        <v>531</v>
      </c>
      <c r="J605" t="s">
        <v>308</v>
      </c>
      <c r="K605" t="s">
        <v>122</v>
      </c>
      <c r="L605" t="s">
        <v>498</v>
      </c>
      <c r="M605" t="s">
        <v>2650</v>
      </c>
      <c r="N605" t="s">
        <v>2650</v>
      </c>
    </row>
    <row r="606" spans="1:14">
      <c r="A606" t="s">
        <v>2654</v>
      </c>
      <c r="B606" t="s">
        <v>2259</v>
      </c>
      <c r="C606" t="s">
        <v>2260</v>
      </c>
      <c r="D606" t="s">
        <v>2655</v>
      </c>
      <c r="E606" t="s">
        <v>1219</v>
      </c>
      <c r="F606" t="s">
        <v>2655</v>
      </c>
      <c r="G606" t="s">
        <v>2655</v>
      </c>
      <c r="H606" t="s">
        <v>316</v>
      </c>
      <c r="I606" t="s">
        <v>317</v>
      </c>
      <c r="J606" t="s">
        <v>318</v>
      </c>
      <c r="K606" t="s">
        <v>122</v>
      </c>
      <c r="L606" t="s">
        <v>381</v>
      </c>
      <c r="M606" t="s">
        <v>2656</v>
      </c>
      <c r="N606" t="s">
        <v>2656</v>
      </c>
    </row>
    <row r="607" spans="1:14">
      <c r="A607" t="s">
        <v>2657</v>
      </c>
      <c r="B607" t="s">
        <v>667</v>
      </c>
      <c r="C607" t="s">
        <v>668</v>
      </c>
      <c r="D607" t="s">
        <v>2658</v>
      </c>
      <c r="E607" t="s">
        <v>2659</v>
      </c>
      <c r="F607" t="s">
        <v>2658</v>
      </c>
      <c r="G607" t="s">
        <v>2658</v>
      </c>
      <c r="H607" t="s">
        <v>316</v>
      </c>
      <c r="I607" t="s">
        <v>317</v>
      </c>
      <c r="J607" t="s">
        <v>318</v>
      </c>
      <c r="K607" t="s">
        <v>122</v>
      </c>
      <c r="L607" t="s">
        <v>381</v>
      </c>
      <c r="M607" t="s">
        <v>2660</v>
      </c>
      <c r="N607" t="s">
        <v>2660</v>
      </c>
    </row>
    <row r="608" spans="1:14">
      <c r="A608" t="s">
        <v>2661</v>
      </c>
      <c r="B608" t="s">
        <v>2662</v>
      </c>
      <c r="C608" t="s">
        <v>2663</v>
      </c>
      <c r="D608" t="s">
        <v>2664</v>
      </c>
      <c r="E608" t="s">
        <v>343</v>
      </c>
      <c r="F608" t="s">
        <v>2665</v>
      </c>
      <c r="G608" t="s">
        <v>2665</v>
      </c>
      <c r="H608" t="s">
        <v>326</v>
      </c>
      <c r="I608" t="s">
        <v>327</v>
      </c>
      <c r="J608" t="s">
        <v>397</v>
      </c>
      <c r="K608" t="s">
        <v>122</v>
      </c>
      <c r="L608" t="s">
        <v>386</v>
      </c>
      <c r="M608" t="s">
        <v>2666</v>
      </c>
      <c r="N608" t="s">
        <v>2666</v>
      </c>
    </row>
    <row r="609" spans="1:14">
      <c r="A609" t="s">
        <v>2667</v>
      </c>
      <c r="B609" t="s">
        <v>690</v>
      </c>
      <c r="C609" t="s">
        <v>691</v>
      </c>
      <c r="D609" t="s">
        <v>2664</v>
      </c>
      <c r="E609" t="s">
        <v>343</v>
      </c>
      <c r="F609" t="s">
        <v>2664</v>
      </c>
      <c r="G609" t="s">
        <v>2664</v>
      </c>
      <c r="H609" t="s">
        <v>326</v>
      </c>
      <c r="I609" t="s">
        <v>327</v>
      </c>
      <c r="J609" t="s">
        <v>328</v>
      </c>
      <c r="K609" t="s">
        <v>122</v>
      </c>
      <c r="L609" t="s">
        <v>329</v>
      </c>
      <c r="M609" t="s">
        <v>2668</v>
      </c>
      <c r="N609" t="s">
        <v>2668</v>
      </c>
    </row>
    <row r="610" spans="1:14">
      <c r="A610" t="s">
        <v>2669</v>
      </c>
      <c r="B610" t="s">
        <v>722</v>
      </c>
      <c r="C610" t="s">
        <v>723</v>
      </c>
      <c r="D610" t="s">
        <v>2670</v>
      </c>
      <c r="E610" t="s">
        <v>2671</v>
      </c>
      <c r="F610" t="s">
        <v>2670</v>
      </c>
      <c r="G610" t="s">
        <v>2670</v>
      </c>
      <c r="H610" t="s">
        <v>316</v>
      </c>
      <c r="I610" t="s">
        <v>317</v>
      </c>
      <c r="J610" t="s">
        <v>318</v>
      </c>
      <c r="K610" t="s">
        <v>122</v>
      </c>
      <c r="L610" t="s">
        <v>381</v>
      </c>
      <c r="M610" t="s">
        <v>2672</v>
      </c>
      <c r="N610" t="s">
        <v>2672</v>
      </c>
    </row>
    <row r="611" spans="1:14">
      <c r="A611" t="s">
        <v>2673</v>
      </c>
      <c r="B611" t="s">
        <v>439</v>
      </c>
      <c r="C611" t="s">
        <v>440</v>
      </c>
      <c r="D611" t="s">
        <v>1248</v>
      </c>
      <c r="E611" t="s">
        <v>315</v>
      </c>
      <c r="F611" t="s">
        <v>2674</v>
      </c>
      <c r="G611" t="s">
        <v>2674</v>
      </c>
      <c r="H611" t="s">
        <v>316</v>
      </c>
      <c r="I611" t="s">
        <v>317</v>
      </c>
      <c r="J611" t="s">
        <v>318</v>
      </c>
      <c r="K611" t="s">
        <v>122</v>
      </c>
      <c r="L611" t="s">
        <v>381</v>
      </c>
      <c r="M611" t="s">
        <v>1133</v>
      </c>
      <c r="N611" t="s">
        <v>1133</v>
      </c>
    </row>
    <row r="612" spans="1:14">
      <c r="A612" t="s">
        <v>1133</v>
      </c>
      <c r="B612" t="s">
        <v>2675</v>
      </c>
      <c r="C612" t="s">
        <v>2676</v>
      </c>
      <c r="D612" t="s">
        <v>1442</v>
      </c>
      <c r="E612" t="s">
        <v>335</v>
      </c>
      <c r="F612" t="s">
        <v>2677</v>
      </c>
      <c r="G612" t="s">
        <v>2677</v>
      </c>
      <c r="H612" t="s">
        <v>316</v>
      </c>
      <c r="I612" t="s">
        <v>317</v>
      </c>
      <c r="J612" t="s">
        <v>318</v>
      </c>
      <c r="K612" t="s">
        <v>122</v>
      </c>
      <c r="L612" t="s">
        <v>381</v>
      </c>
      <c r="M612" t="s">
        <v>1133</v>
      </c>
      <c r="N612" t="s">
        <v>1133</v>
      </c>
    </row>
    <row r="613" spans="1:14">
      <c r="A613" t="s">
        <v>2678</v>
      </c>
      <c r="B613" t="s">
        <v>546</v>
      </c>
      <c r="C613" t="s">
        <v>547</v>
      </c>
      <c r="D613" t="s">
        <v>2679</v>
      </c>
      <c r="E613" t="s">
        <v>335</v>
      </c>
      <c r="F613" t="s">
        <v>866</v>
      </c>
      <c r="G613" t="s">
        <v>866</v>
      </c>
      <c r="H613" t="s">
        <v>316</v>
      </c>
      <c r="I613" t="s">
        <v>317</v>
      </c>
      <c r="J613" t="s">
        <v>318</v>
      </c>
      <c r="K613" t="s">
        <v>122</v>
      </c>
      <c r="L613" t="s">
        <v>319</v>
      </c>
      <c r="M613" t="s">
        <v>2680</v>
      </c>
      <c r="N613" t="s">
        <v>2680</v>
      </c>
    </row>
    <row r="614" spans="1:14">
      <c r="A614" t="s">
        <v>229</v>
      </c>
      <c r="B614" t="s">
        <v>534</v>
      </c>
      <c r="C614" t="s">
        <v>535</v>
      </c>
      <c r="D614" t="s">
        <v>2681</v>
      </c>
      <c r="E614" t="s">
        <v>774</v>
      </c>
      <c r="F614" t="s">
        <v>2681</v>
      </c>
      <c r="G614" t="s">
        <v>2681</v>
      </c>
      <c r="H614" t="s">
        <v>306</v>
      </c>
      <c r="I614" t="s">
        <v>2378</v>
      </c>
      <c r="J614" t="s">
        <v>397</v>
      </c>
      <c r="K614" t="s">
        <v>122</v>
      </c>
      <c r="L614" t="s">
        <v>537</v>
      </c>
      <c r="M614" t="s">
        <v>2682</v>
      </c>
      <c r="N614" t="s">
        <v>2682</v>
      </c>
    </row>
    <row r="615" spans="1:14">
      <c r="A615" t="s">
        <v>2683</v>
      </c>
      <c r="B615" t="s">
        <v>1378</v>
      </c>
      <c r="C615" t="s">
        <v>1379</v>
      </c>
      <c r="D615" t="s">
        <v>687</v>
      </c>
      <c r="E615" t="s">
        <v>325</v>
      </c>
      <c r="F615" t="s">
        <v>687</v>
      </c>
      <c r="G615" t="s">
        <v>687</v>
      </c>
      <c r="H615" t="s">
        <v>316</v>
      </c>
      <c r="I615" t="s">
        <v>317</v>
      </c>
      <c r="J615" t="s">
        <v>318</v>
      </c>
      <c r="K615" t="s">
        <v>122</v>
      </c>
      <c r="L615" t="s">
        <v>381</v>
      </c>
      <c r="M615" t="s">
        <v>1133</v>
      </c>
      <c r="N615" t="s">
        <v>1133</v>
      </c>
    </row>
    <row r="616" spans="1:14">
      <c r="A616" t="s">
        <v>2684</v>
      </c>
      <c r="B616" t="s">
        <v>2685</v>
      </c>
      <c r="C616" t="s">
        <v>2686</v>
      </c>
      <c r="D616" t="s">
        <v>2687</v>
      </c>
      <c r="E616" t="s">
        <v>335</v>
      </c>
      <c r="F616" t="s">
        <v>2688</v>
      </c>
      <c r="G616" t="s">
        <v>2688</v>
      </c>
      <c r="H616" t="s">
        <v>316</v>
      </c>
      <c r="I616" t="s">
        <v>317</v>
      </c>
      <c r="J616" t="s">
        <v>318</v>
      </c>
      <c r="K616" t="s">
        <v>122</v>
      </c>
      <c r="L616" t="s">
        <v>319</v>
      </c>
      <c r="M616" t="s">
        <v>1115</v>
      </c>
      <c r="N616" t="s">
        <v>1115</v>
      </c>
    </row>
    <row r="617" spans="1:14">
      <c r="A617" t="s">
        <v>2689</v>
      </c>
      <c r="B617" t="s">
        <v>1388</v>
      </c>
      <c r="C617" t="s">
        <v>1389</v>
      </c>
      <c r="D617" t="s">
        <v>2690</v>
      </c>
      <c r="E617" t="s">
        <v>305</v>
      </c>
      <c r="F617" t="s">
        <v>2690</v>
      </c>
      <c r="G617" t="s">
        <v>2690</v>
      </c>
      <c r="H617" t="s">
        <v>316</v>
      </c>
      <c r="I617" t="s">
        <v>317</v>
      </c>
      <c r="J617" t="s">
        <v>367</v>
      </c>
      <c r="K617" t="s">
        <v>122</v>
      </c>
      <c r="L617" t="s">
        <v>381</v>
      </c>
      <c r="M617" t="s">
        <v>2691</v>
      </c>
      <c r="N617" t="s">
        <v>2691</v>
      </c>
    </row>
    <row r="618" spans="1:14">
      <c r="A618" t="s">
        <v>2692</v>
      </c>
      <c r="B618" t="s">
        <v>722</v>
      </c>
      <c r="C618" t="s">
        <v>723</v>
      </c>
      <c r="D618" t="s">
        <v>1844</v>
      </c>
      <c r="E618" t="s">
        <v>343</v>
      </c>
      <c r="F618" t="s">
        <v>543</v>
      </c>
      <c r="G618" t="s">
        <v>543</v>
      </c>
      <c r="H618" t="s">
        <v>316</v>
      </c>
      <c r="I618" t="s">
        <v>531</v>
      </c>
      <c r="J618" t="s">
        <v>367</v>
      </c>
      <c r="K618" t="s">
        <v>122</v>
      </c>
      <c r="L618" t="s">
        <v>368</v>
      </c>
      <c r="M618" t="s">
        <v>1845</v>
      </c>
      <c r="N618" t="s">
        <v>1845</v>
      </c>
    </row>
    <row r="619" spans="1:14">
      <c r="A619" t="s">
        <v>2693</v>
      </c>
      <c r="B619" t="s">
        <v>2694</v>
      </c>
      <c r="C619" t="s">
        <v>2695</v>
      </c>
      <c r="D619" t="s">
        <v>2100</v>
      </c>
      <c r="E619" t="s">
        <v>315</v>
      </c>
      <c r="F619" t="s">
        <v>709</v>
      </c>
      <c r="G619" t="s">
        <v>709</v>
      </c>
      <c r="H619" t="s">
        <v>316</v>
      </c>
      <c r="I619" t="s">
        <v>317</v>
      </c>
      <c r="J619" t="s">
        <v>308</v>
      </c>
      <c r="K619" t="s">
        <v>122</v>
      </c>
      <c r="L619" t="s">
        <v>498</v>
      </c>
      <c r="M619" t="s">
        <v>2696</v>
      </c>
      <c r="N619" t="s">
        <v>2696</v>
      </c>
    </row>
    <row r="620" spans="1:14">
      <c r="A620" t="s">
        <v>2697</v>
      </c>
      <c r="B620" t="s">
        <v>1761</v>
      </c>
      <c r="C620" t="s">
        <v>1762</v>
      </c>
      <c r="D620" t="s">
        <v>1656</v>
      </c>
      <c r="E620" t="s">
        <v>335</v>
      </c>
      <c r="F620" t="s">
        <v>1656</v>
      </c>
      <c r="G620" t="s">
        <v>1656</v>
      </c>
      <c r="H620" t="s">
        <v>316</v>
      </c>
      <c r="I620" t="s">
        <v>317</v>
      </c>
      <c r="J620" t="s">
        <v>424</v>
      </c>
      <c r="K620" t="s">
        <v>122</v>
      </c>
      <c r="L620" t="s">
        <v>386</v>
      </c>
      <c r="M620" t="s">
        <v>2698</v>
      </c>
      <c r="N620" t="s">
        <v>2698</v>
      </c>
    </row>
    <row r="621" spans="1:14">
      <c r="A621" t="s">
        <v>2699</v>
      </c>
      <c r="B621" t="s">
        <v>454</v>
      </c>
      <c r="C621" t="s">
        <v>455</v>
      </c>
      <c r="D621" t="s">
        <v>2700</v>
      </c>
      <c r="E621" t="s">
        <v>325</v>
      </c>
      <c r="F621" t="s">
        <v>2700</v>
      </c>
      <c r="G621" t="s">
        <v>2700</v>
      </c>
      <c r="H621" t="s">
        <v>316</v>
      </c>
      <c r="I621" t="s">
        <v>317</v>
      </c>
      <c r="J621" t="s">
        <v>308</v>
      </c>
      <c r="K621" t="s">
        <v>122</v>
      </c>
      <c r="L621" t="s">
        <v>381</v>
      </c>
      <c r="M621" t="s">
        <v>2701</v>
      </c>
      <c r="N621" t="s">
        <v>2701</v>
      </c>
    </row>
    <row r="622" spans="1:14">
      <c r="A622" t="s">
        <v>2702</v>
      </c>
      <c r="B622" t="s">
        <v>561</v>
      </c>
      <c r="C622" t="s">
        <v>561</v>
      </c>
      <c r="D622" t="s">
        <v>1080</v>
      </c>
      <c r="E622" t="s">
        <v>574</v>
      </c>
      <c r="F622" t="s">
        <v>1080</v>
      </c>
      <c r="G622" t="s">
        <v>1080</v>
      </c>
      <c r="H622" t="s">
        <v>306</v>
      </c>
      <c r="I622" t="s">
        <v>612</v>
      </c>
      <c r="J622" t="s">
        <v>210</v>
      </c>
      <c r="K622" t="s">
        <v>122</v>
      </c>
      <c r="L622" t="s">
        <v>350</v>
      </c>
      <c r="M622" t="s">
        <v>1081</v>
      </c>
      <c r="N622" t="s">
        <v>1081</v>
      </c>
    </row>
    <row r="623" spans="1:14">
      <c r="A623" t="s">
        <v>2703</v>
      </c>
      <c r="B623" t="s">
        <v>947</v>
      </c>
      <c r="C623" t="s">
        <v>2704</v>
      </c>
      <c r="D623" t="s">
        <v>492</v>
      </c>
      <c r="E623" t="s">
        <v>325</v>
      </c>
      <c r="F623" t="s">
        <v>492</v>
      </c>
      <c r="G623" t="s">
        <v>492</v>
      </c>
      <c r="H623" t="s">
        <v>306</v>
      </c>
      <c r="I623" t="s">
        <v>307</v>
      </c>
      <c r="J623" t="s">
        <v>328</v>
      </c>
      <c r="K623" t="s">
        <v>122</v>
      </c>
      <c r="L623" t="s">
        <v>329</v>
      </c>
      <c r="M623" t="s">
        <v>2705</v>
      </c>
      <c r="N623" t="s">
        <v>2705</v>
      </c>
    </row>
    <row r="624" spans="1:14">
      <c r="A624" t="s">
        <v>2706</v>
      </c>
      <c r="B624" t="s">
        <v>2707</v>
      </c>
      <c r="C624" t="s">
        <v>2708</v>
      </c>
      <c r="D624" t="s">
        <v>2709</v>
      </c>
      <c r="E624" t="s">
        <v>343</v>
      </c>
      <c r="F624" t="s">
        <v>2688</v>
      </c>
      <c r="G624" t="s">
        <v>2688</v>
      </c>
      <c r="H624" t="s">
        <v>316</v>
      </c>
      <c r="I624" t="s">
        <v>317</v>
      </c>
      <c r="J624" t="s">
        <v>418</v>
      </c>
      <c r="K624" t="s">
        <v>122</v>
      </c>
      <c r="L624" t="s">
        <v>451</v>
      </c>
      <c r="M624" t="s">
        <v>2710</v>
      </c>
      <c r="N624" t="s">
        <v>2710</v>
      </c>
    </row>
    <row r="625" spans="1:14">
      <c r="A625" t="s">
        <v>2711</v>
      </c>
      <c r="B625" t="s">
        <v>1468</v>
      </c>
      <c r="C625" t="s">
        <v>1469</v>
      </c>
      <c r="D625" t="s">
        <v>1509</v>
      </c>
      <c r="E625" t="s">
        <v>2712</v>
      </c>
      <c r="F625" t="s">
        <v>1509</v>
      </c>
      <c r="G625" t="s">
        <v>1509</v>
      </c>
      <c r="H625" t="s">
        <v>316</v>
      </c>
      <c r="I625" t="s">
        <v>317</v>
      </c>
      <c r="J625" t="s">
        <v>424</v>
      </c>
      <c r="K625" t="s">
        <v>122</v>
      </c>
      <c r="L625" t="s">
        <v>386</v>
      </c>
      <c r="M625" t="s">
        <v>746</v>
      </c>
      <c r="N625" t="s">
        <v>746</v>
      </c>
    </row>
    <row r="626" spans="1:14">
      <c r="A626" t="s">
        <v>2713</v>
      </c>
      <c r="B626" t="s">
        <v>934</v>
      </c>
      <c r="C626" t="s">
        <v>935</v>
      </c>
      <c r="D626" t="s">
        <v>936</v>
      </c>
      <c r="E626" t="s">
        <v>325</v>
      </c>
      <c r="F626" t="s">
        <v>936</v>
      </c>
      <c r="G626" t="s">
        <v>936</v>
      </c>
      <c r="H626" t="s">
        <v>431</v>
      </c>
      <c r="I626" t="s">
        <v>327</v>
      </c>
      <c r="J626" t="s">
        <v>357</v>
      </c>
      <c r="K626" t="s">
        <v>122</v>
      </c>
      <c r="L626" t="s">
        <v>309</v>
      </c>
      <c r="M626" t="s">
        <v>2714</v>
      </c>
      <c r="N626" t="s">
        <v>2714</v>
      </c>
    </row>
    <row r="627" spans="1:14">
      <c r="A627" t="s">
        <v>2715</v>
      </c>
      <c r="B627" t="s">
        <v>947</v>
      </c>
      <c r="C627" t="s">
        <v>2716</v>
      </c>
      <c r="D627" t="s">
        <v>2717</v>
      </c>
      <c r="E627" t="s">
        <v>325</v>
      </c>
      <c r="F627" t="s">
        <v>2717</v>
      </c>
      <c r="G627" t="s">
        <v>2717</v>
      </c>
      <c r="H627" t="s">
        <v>306</v>
      </c>
      <c r="I627" t="s">
        <v>307</v>
      </c>
      <c r="J627" t="s">
        <v>328</v>
      </c>
      <c r="K627" t="s">
        <v>122</v>
      </c>
      <c r="L627" t="s">
        <v>329</v>
      </c>
      <c r="M627" t="s">
        <v>2718</v>
      </c>
      <c r="N627" t="s">
        <v>2718</v>
      </c>
    </row>
    <row r="628" spans="1:14">
      <c r="A628" t="s">
        <v>2719</v>
      </c>
      <c r="B628" t="s">
        <v>546</v>
      </c>
      <c r="C628" t="s">
        <v>547</v>
      </c>
      <c r="D628" t="s">
        <v>2720</v>
      </c>
      <c r="E628" t="s">
        <v>335</v>
      </c>
      <c r="F628" t="s">
        <v>2720</v>
      </c>
      <c r="G628" t="s">
        <v>2720</v>
      </c>
      <c r="H628" t="s">
        <v>326</v>
      </c>
      <c r="I628" t="s">
        <v>327</v>
      </c>
      <c r="J628" t="s">
        <v>308</v>
      </c>
      <c r="K628" t="s">
        <v>122</v>
      </c>
      <c r="L628" t="s">
        <v>2721</v>
      </c>
      <c r="M628" t="s">
        <v>2722</v>
      </c>
      <c r="N628" t="s">
        <v>2722</v>
      </c>
    </row>
    <row r="629" spans="1:14">
      <c r="A629" t="s">
        <v>2723</v>
      </c>
      <c r="B629" t="s">
        <v>1047</v>
      </c>
      <c r="C629" t="s">
        <v>1048</v>
      </c>
      <c r="D629" t="s">
        <v>1114</v>
      </c>
      <c r="E629" t="s">
        <v>611</v>
      </c>
      <c r="F629" t="s">
        <v>1114</v>
      </c>
      <c r="G629" t="s">
        <v>1114</v>
      </c>
      <c r="H629" t="s">
        <v>306</v>
      </c>
      <c r="I629" t="s">
        <v>327</v>
      </c>
      <c r="J629" t="s">
        <v>424</v>
      </c>
      <c r="K629" t="s">
        <v>122</v>
      </c>
      <c r="L629" t="s">
        <v>451</v>
      </c>
      <c r="M629" t="s">
        <v>2724</v>
      </c>
      <c r="N629" t="s">
        <v>2724</v>
      </c>
    </row>
    <row r="630" spans="1:14">
      <c r="A630" t="s">
        <v>2725</v>
      </c>
      <c r="B630" t="s">
        <v>638</v>
      </c>
      <c r="C630" t="s">
        <v>639</v>
      </c>
      <c r="D630" t="s">
        <v>876</v>
      </c>
      <c r="E630" t="s">
        <v>305</v>
      </c>
      <c r="F630" t="s">
        <v>876</v>
      </c>
      <c r="G630" t="s">
        <v>876</v>
      </c>
      <c r="H630" t="s">
        <v>316</v>
      </c>
      <c r="I630" t="s">
        <v>317</v>
      </c>
      <c r="J630" t="s">
        <v>376</v>
      </c>
      <c r="K630" t="s">
        <v>122</v>
      </c>
      <c r="L630" t="s">
        <v>350</v>
      </c>
      <c r="M630" t="s">
        <v>2726</v>
      </c>
      <c r="N630" t="s">
        <v>2726</v>
      </c>
    </row>
    <row r="631" spans="1:14">
      <c r="A631" t="s">
        <v>2727</v>
      </c>
      <c r="B631" t="s">
        <v>434</v>
      </c>
      <c r="C631" t="s">
        <v>435</v>
      </c>
      <c r="D631" t="s">
        <v>1844</v>
      </c>
      <c r="E631" t="s">
        <v>343</v>
      </c>
      <c r="F631" t="s">
        <v>543</v>
      </c>
      <c r="G631" t="s">
        <v>543</v>
      </c>
      <c r="H631" t="s">
        <v>316</v>
      </c>
      <c r="I631" t="s">
        <v>531</v>
      </c>
      <c r="J631" t="s">
        <v>367</v>
      </c>
      <c r="K631" t="s">
        <v>122</v>
      </c>
      <c r="L631" t="s">
        <v>368</v>
      </c>
      <c r="M631" t="s">
        <v>1845</v>
      </c>
      <c r="N631" t="s">
        <v>1845</v>
      </c>
    </row>
    <row r="632" spans="1:14">
      <c r="A632" t="s">
        <v>2728</v>
      </c>
      <c r="B632" t="s">
        <v>2729</v>
      </c>
      <c r="C632" t="s">
        <v>2730</v>
      </c>
      <c r="D632" t="s">
        <v>1392</v>
      </c>
      <c r="E632" t="s">
        <v>325</v>
      </c>
      <c r="F632" t="s">
        <v>1392</v>
      </c>
      <c r="G632" t="s">
        <v>1392</v>
      </c>
      <c r="H632" t="s">
        <v>306</v>
      </c>
      <c r="I632" t="s">
        <v>307</v>
      </c>
      <c r="J632" t="s">
        <v>328</v>
      </c>
      <c r="K632" t="s">
        <v>122</v>
      </c>
      <c r="L632" t="s">
        <v>358</v>
      </c>
      <c r="M632" t="s">
        <v>2731</v>
      </c>
      <c r="N632" t="s">
        <v>2731</v>
      </c>
    </row>
    <row r="633" spans="1:14">
      <c r="A633" t="s">
        <v>2732</v>
      </c>
      <c r="B633" t="s">
        <v>1029</v>
      </c>
      <c r="C633" t="s">
        <v>1030</v>
      </c>
      <c r="D633" t="s">
        <v>2733</v>
      </c>
      <c r="E633" t="s">
        <v>364</v>
      </c>
      <c r="F633" t="s">
        <v>2733</v>
      </c>
      <c r="G633" t="s">
        <v>2733</v>
      </c>
      <c r="H633" t="s">
        <v>316</v>
      </c>
      <c r="I633" t="s">
        <v>317</v>
      </c>
      <c r="J633" t="s">
        <v>318</v>
      </c>
      <c r="K633" t="s">
        <v>122</v>
      </c>
      <c r="L633" t="s">
        <v>358</v>
      </c>
      <c r="M633" t="s">
        <v>2734</v>
      </c>
      <c r="N633" t="s">
        <v>2734</v>
      </c>
    </row>
    <row r="634" spans="1:14">
      <c r="A634" t="s">
        <v>2735</v>
      </c>
      <c r="B634" t="s">
        <v>2736</v>
      </c>
      <c r="C634" t="s">
        <v>2737</v>
      </c>
      <c r="D634" t="s">
        <v>2738</v>
      </c>
      <c r="E634" t="s">
        <v>364</v>
      </c>
      <c r="F634" t="s">
        <v>2738</v>
      </c>
      <c r="G634" t="s">
        <v>2738</v>
      </c>
      <c r="H634" t="s">
        <v>316</v>
      </c>
      <c r="I634" t="s">
        <v>317</v>
      </c>
      <c r="J634" t="s">
        <v>318</v>
      </c>
      <c r="K634" t="s">
        <v>122</v>
      </c>
      <c r="L634" t="s">
        <v>337</v>
      </c>
      <c r="M634" t="s">
        <v>338</v>
      </c>
      <c r="N634" t="s">
        <v>338</v>
      </c>
    </row>
    <row r="635" spans="1:14">
      <c r="A635" t="s">
        <v>2739</v>
      </c>
      <c r="B635" t="s">
        <v>2740</v>
      </c>
      <c r="C635" t="s">
        <v>2741</v>
      </c>
      <c r="D635" t="s">
        <v>2742</v>
      </c>
      <c r="E635" t="s">
        <v>343</v>
      </c>
      <c r="F635" t="s">
        <v>2742</v>
      </c>
      <c r="G635" t="s">
        <v>2742</v>
      </c>
      <c r="H635" t="s">
        <v>316</v>
      </c>
      <c r="I635" t="s">
        <v>317</v>
      </c>
      <c r="J635" t="s">
        <v>318</v>
      </c>
      <c r="K635" t="s">
        <v>122</v>
      </c>
      <c r="L635" t="s">
        <v>791</v>
      </c>
      <c r="M635" t="s">
        <v>2743</v>
      </c>
      <c r="N635" t="s">
        <v>2743</v>
      </c>
    </row>
    <row r="636" spans="1:14">
      <c r="A636" t="s">
        <v>2744</v>
      </c>
      <c r="B636" t="s">
        <v>546</v>
      </c>
      <c r="C636" t="s">
        <v>547</v>
      </c>
      <c r="D636" t="s">
        <v>2745</v>
      </c>
      <c r="E636" t="s">
        <v>343</v>
      </c>
      <c r="F636" t="s">
        <v>1309</v>
      </c>
      <c r="G636" t="s">
        <v>1309</v>
      </c>
      <c r="H636" t="s">
        <v>316</v>
      </c>
      <c r="I636" t="s">
        <v>317</v>
      </c>
      <c r="J636" t="s">
        <v>424</v>
      </c>
      <c r="K636" t="s">
        <v>122</v>
      </c>
      <c r="L636" t="s">
        <v>386</v>
      </c>
      <c r="M636" t="s">
        <v>2746</v>
      </c>
      <c r="N636" t="s">
        <v>2746</v>
      </c>
    </row>
    <row r="637" spans="1:14">
      <c r="A637" t="s">
        <v>2747</v>
      </c>
      <c r="B637" t="s">
        <v>556</v>
      </c>
      <c r="C637" t="s">
        <v>557</v>
      </c>
      <c r="D637" t="s">
        <v>1866</v>
      </c>
      <c r="E637" t="s">
        <v>335</v>
      </c>
      <c r="F637" t="s">
        <v>1866</v>
      </c>
      <c r="G637" t="s">
        <v>1866</v>
      </c>
      <c r="H637" t="s">
        <v>316</v>
      </c>
      <c r="I637" t="s">
        <v>317</v>
      </c>
      <c r="J637" t="s">
        <v>318</v>
      </c>
      <c r="K637" t="s">
        <v>122</v>
      </c>
      <c r="L637" t="s">
        <v>337</v>
      </c>
      <c r="M637" t="s">
        <v>2748</v>
      </c>
      <c r="N637" t="s">
        <v>2748</v>
      </c>
    </row>
    <row r="638" spans="1:14">
      <c r="A638" t="s">
        <v>2749</v>
      </c>
      <c r="B638" t="s">
        <v>638</v>
      </c>
      <c r="C638" t="s">
        <v>639</v>
      </c>
      <c r="D638" t="s">
        <v>2297</v>
      </c>
      <c r="E638" t="s">
        <v>364</v>
      </c>
      <c r="F638" t="s">
        <v>2297</v>
      </c>
      <c r="G638" t="s">
        <v>2297</v>
      </c>
      <c r="H638" t="s">
        <v>316</v>
      </c>
      <c r="I638" t="s">
        <v>317</v>
      </c>
      <c r="J638" t="s">
        <v>397</v>
      </c>
      <c r="K638" t="s">
        <v>122</v>
      </c>
      <c r="L638" t="s">
        <v>344</v>
      </c>
      <c r="M638" t="s">
        <v>2750</v>
      </c>
      <c r="N638" t="s">
        <v>2750</v>
      </c>
    </row>
    <row r="639" spans="1:14">
      <c r="A639" t="s">
        <v>2751</v>
      </c>
      <c r="B639" t="s">
        <v>2752</v>
      </c>
      <c r="C639" t="s">
        <v>2753</v>
      </c>
      <c r="D639" t="s">
        <v>1885</v>
      </c>
      <c r="E639" t="s">
        <v>315</v>
      </c>
      <c r="F639" t="s">
        <v>1885</v>
      </c>
      <c r="G639" t="s">
        <v>1885</v>
      </c>
      <c r="H639" t="s">
        <v>316</v>
      </c>
      <c r="I639" t="s">
        <v>317</v>
      </c>
      <c r="J639" t="s">
        <v>376</v>
      </c>
      <c r="K639" t="s">
        <v>122</v>
      </c>
      <c r="L639" t="s">
        <v>344</v>
      </c>
      <c r="M639" t="s">
        <v>2754</v>
      </c>
      <c r="N639" t="s">
        <v>2754</v>
      </c>
    </row>
    <row r="640" spans="1:14">
      <c r="A640" t="s">
        <v>2755</v>
      </c>
      <c r="B640" t="s">
        <v>2756</v>
      </c>
      <c r="C640" t="s">
        <v>2757</v>
      </c>
      <c r="D640" t="s">
        <v>2758</v>
      </c>
      <c r="E640" t="s">
        <v>325</v>
      </c>
      <c r="F640" t="s">
        <v>2759</v>
      </c>
      <c r="G640" t="s">
        <v>2759</v>
      </c>
      <c r="H640" t="s">
        <v>306</v>
      </c>
      <c r="I640" t="s">
        <v>307</v>
      </c>
      <c r="J640" t="s">
        <v>328</v>
      </c>
      <c r="K640" t="s">
        <v>122</v>
      </c>
      <c r="L640" t="s">
        <v>368</v>
      </c>
      <c r="M640" t="s">
        <v>2760</v>
      </c>
      <c r="N640" t="s">
        <v>2760</v>
      </c>
    </row>
    <row r="641" spans="1:14">
      <c r="A641" t="s">
        <v>2761</v>
      </c>
      <c r="B641" t="s">
        <v>2762</v>
      </c>
      <c r="C641" t="s">
        <v>2763</v>
      </c>
      <c r="D641" t="s">
        <v>1809</v>
      </c>
      <c r="E641" t="s">
        <v>325</v>
      </c>
      <c r="F641" t="s">
        <v>1809</v>
      </c>
      <c r="G641" t="s">
        <v>1809</v>
      </c>
      <c r="H641" t="s">
        <v>306</v>
      </c>
      <c r="I641" t="s">
        <v>307</v>
      </c>
      <c r="J641" t="s">
        <v>376</v>
      </c>
      <c r="K641" t="s">
        <v>122</v>
      </c>
      <c r="L641" t="s">
        <v>498</v>
      </c>
      <c r="M641" t="s">
        <v>2764</v>
      </c>
      <c r="N641" t="s">
        <v>2764</v>
      </c>
    </row>
    <row r="642" spans="1:14">
      <c r="A642" t="s">
        <v>2765</v>
      </c>
      <c r="B642" t="s">
        <v>2766</v>
      </c>
      <c r="C642" t="s">
        <v>2767</v>
      </c>
      <c r="D642" t="s">
        <v>402</v>
      </c>
      <c r="E642" t="s">
        <v>335</v>
      </c>
      <c r="F642" t="s">
        <v>402</v>
      </c>
      <c r="G642" t="s">
        <v>402</v>
      </c>
      <c r="H642" t="s">
        <v>316</v>
      </c>
      <c r="I642" t="s">
        <v>317</v>
      </c>
      <c r="J642" t="s">
        <v>318</v>
      </c>
      <c r="K642" t="s">
        <v>122</v>
      </c>
      <c r="L642" t="s">
        <v>368</v>
      </c>
      <c r="M642" t="s">
        <v>403</v>
      </c>
      <c r="N642" t="s">
        <v>403</v>
      </c>
    </row>
    <row r="643" spans="1:14">
      <c r="A643" t="s">
        <v>2768</v>
      </c>
      <c r="B643" t="s">
        <v>2769</v>
      </c>
      <c r="C643" t="s">
        <v>2770</v>
      </c>
      <c r="D643" t="s">
        <v>1585</v>
      </c>
      <c r="E643" t="s">
        <v>315</v>
      </c>
      <c r="F643" t="s">
        <v>1585</v>
      </c>
      <c r="G643" t="s">
        <v>1585</v>
      </c>
      <c r="H643" t="s">
        <v>316</v>
      </c>
      <c r="I643" t="s">
        <v>531</v>
      </c>
      <c r="J643" t="s">
        <v>308</v>
      </c>
      <c r="K643" t="s">
        <v>122</v>
      </c>
      <c r="L643" t="s">
        <v>350</v>
      </c>
      <c r="M643" t="s">
        <v>2768</v>
      </c>
      <c r="N643" t="s">
        <v>2768</v>
      </c>
    </row>
    <row r="644" spans="1:14">
      <c r="A644" t="s">
        <v>2771</v>
      </c>
      <c r="B644" t="s">
        <v>2772</v>
      </c>
      <c r="C644" t="s">
        <v>2773</v>
      </c>
      <c r="D644" t="s">
        <v>1137</v>
      </c>
      <c r="E644" t="s">
        <v>325</v>
      </c>
      <c r="F644" t="s">
        <v>1137</v>
      </c>
      <c r="G644" t="s">
        <v>1137</v>
      </c>
      <c r="H644" t="s">
        <v>316</v>
      </c>
      <c r="I644" t="s">
        <v>531</v>
      </c>
      <c r="J644" t="s">
        <v>328</v>
      </c>
      <c r="K644" t="s">
        <v>122</v>
      </c>
      <c r="L644" t="s">
        <v>329</v>
      </c>
      <c r="M644" t="s">
        <v>2774</v>
      </c>
      <c r="N644" t="s">
        <v>2774</v>
      </c>
    </row>
    <row r="645" spans="1:14">
      <c r="A645" t="s">
        <v>2775</v>
      </c>
      <c r="B645" t="s">
        <v>2776</v>
      </c>
      <c r="C645" t="s">
        <v>2777</v>
      </c>
      <c r="D645" t="s">
        <v>616</v>
      </c>
      <c r="E645" t="s">
        <v>315</v>
      </c>
      <c r="F645" t="s">
        <v>616</v>
      </c>
      <c r="G645" t="s">
        <v>616</v>
      </c>
      <c r="H645" t="s">
        <v>316</v>
      </c>
      <c r="I645" t="s">
        <v>317</v>
      </c>
      <c r="J645" t="s">
        <v>318</v>
      </c>
      <c r="K645" t="s">
        <v>122</v>
      </c>
      <c r="L645" t="s">
        <v>381</v>
      </c>
      <c r="M645" t="s">
        <v>2778</v>
      </c>
      <c r="N645" t="s">
        <v>2778</v>
      </c>
    </row>
    <row r="646" spans="1:14">
      <c r="A646" t="s">
        <v>2779</v>
      </c>
      <c r="B646" t="s">
        <v>1388</v>
      </c>
      <c r="C646" t="s">
        <v>1389</v>
      </c>
      <c r="D646" t="s">
        <v>1267</v>
      </c>
      <c r="E646" t="s">
        <v>335</v>
      </c>
      <c r="F646" t="s">
        <v>1267</v>
      </c>
      <c r="G646" t="s">
        <v>1267</v>
      </c>
      <c r="H646" t="s">
        <v>316</v>
      </c>
      <c r="I646" t="s">
        <v>317</v>
      </c>
      <c r="J646" t="s">
        <v>318</v>
      </c>
      <c r="K646" t="s">
        <v>122</v>
      </c>
      <c r="L646" t="s">
        <v>319</v>
      </c>
      <c r="M646" t="s">
        <v>2780</v>
      </c>
      <c r="N646" t="s">
        <v>2780</v>
      </c>
    </row>
    <row r="647" spans="1:14">
      <c r="A647" t="s">
        <v>2781</v>
      </c>
      <c r="B647" t="s">
        <v>2782</v>
      </c>
      <c r="C647" t="s">
        <v>2783</v>
      </c>
      <c r="D647" t="s">
        <v>2116</v>
      </c>
      <c r="E647" t="s">
        <v>315</v>
      </c>
      <c r="F647" t="s">
        <v>2116</v>
      </c>
      <c r="G647" t="s">
        <v>2116</v>
      </c>
      <c r="H647" t="s">
        <v>316</v>
      </c>
      <c r="I647" t="s">
        <v>317</v>
      </c>
      <c r="J647" t="s">
        <v>318</v>
      </c>
      <c r="K647" t="s">
        <v>122</v>
      </c>
      <c r="L647" t="s">
        <v>368</v>
      </c>
      <c r="M647" t="s">
        <v>2784</v>
      </c>
      <c r="N647" t="s">
        <v>2784</v>
      </c>
    </row>
    <row r="648" spans="1:14">
      <c r="A648" t="s">
        <v>2785</v>
      </c>
      <c r="B648" t="s">
        <v>540</v>
      </c>
      <c r="C648" t="s">
        <v>541</v>
      </c>
      <c r="D648" t="s">
        <v>1866</v>
      </c>
      <c r="E648" t="s">
        <v>305</v>
      </c>
      <c r="F648" t="s">
        <v>1866</v>
      </c>
      <c r="G648" t="s">
        <v>1866</v>
      </c>
      <c r="H648" t="s">
        <v>306</v>
      </c>
      <c r="I648" t="s">
        <v>307</v>
      </c>
      <c r="J648" t="s">
        <v>424</v>
      </c>
      <c r="K648" t="s">
        <v>122</v>
      </c>
      <c r="L648" t="s">
        <v>451</v>
      </c>
      <c r="M648" t="s">
        <v>2786</v>
      </c>
      <c r="N648" t="s">
        <v>2786</v>
      </c>
    </row>
    <row r="649" spans="1:14">
      <c r="A649" t="s">
        <v>2787</v>
      </c>
      <c r="B649" t="s">
        <v>2788</v>
      </c>
      <c r="C649" t="s">
        <v>2789</v>
      </c>
      <c r="D649" t="s">
        <v>2790</v>
      </c>
      <c r="E649" t="s">
        <v>574</v>
      </c>
      <c r="F649" t="s">
        <v>2790</v>
      </c>
      <c r="G649" t="s">
        <v>2790</v>
      </c>
      <c r="H649" t="s">
        <v>306</v>
      </c>
      <c r="I649" t="s">
        <v>307</v>
      </c>
      <c r="J649" t="s">
        <v>328</v>
      </c>
      <c r="K649" t="s">
        <v>122</v>
      </c>
      <c r="L649" t="s">
        <v>329</v>
      </c>
      <c r="M649" t="s">
        <v>2791</v>
      </c>
      <c r="N649" t="s">
        <v>2791</v>
      </c>
    </row>
    <row r="650" spans="1:14">
      <c r="A650" t="s">
        <v>2792</v>
      </c>
      <c r="B650" t="s">
        <v>681</v>
      </c>
      <c r="C650" t="s">
        <v>2793</v>
      </c>
      <c r="D650" t="s">
        <v>2794</v>
      </c>
      <c r="E650" t="s">
        <v>325</v>
      </c>
      <c r="F650" t="s">
        <v>2794</v>
      </c>
      <c r="G650" t="s">
        <v>2794</v>
      </c>
      <c r="H650" t="s">
        <v>306</v>
      </c>
      <c r="I650" t="s">
        <v>327</v>
      </c>
      <c r="J650" t="s">
        <v>328</v>
      </c>
      <c r="K650" t="s">
        <v>122</v>
      </c>
      <c r="L650" t="s">
        <v>358</v>
      </c>
      <c r="M650" t="s">
        <v>2791</v>
      </c>
      <c r="N650" t="s">
        <v>2791</v>
      </c>
    </row>
    <row r="651" spans="1:14">
      <c r="A651" t="s">
        <v>2795</v>
      </c>
      <c r="B651" t="s">
        <v>2796</v>
      </c>
      <c r="C651" t="s">
        <v>2797</v>
      </c>
      <c r="D651" t="s">
        <v>1308</v>
      </c>
      <c r="E651" t="s">
        <v>343</v>
      </c>
      <c r="F651" t="s">
        <v>1308</v>
      </c>
      <c r="G651" t="s">
        <v>1308</v>
      </c>
      <c r="H651" t="s">
        <v>306</v>
      </c>
      <c r="I651" t="s">
        <v>612</v>
      </c>
      <c r="J651" t="s">
        <v>424</v>
      </c>
      <c r="K651" t="s">
        <v>122</v>
      </c>
      <c r="L651" t="s">
        <v>605</v>
      </c>
      <c r="M651" t="s">
        <v>2798</v>
      </c>
      <c r="N651" t="s">
        <v>2798</v>
      </c>
    </row>
    <row r="652" spans="1:14">
      <c r="A652" t="s">
        <v>2799</v>
      </c>
      <c r="B652" t="s">
        <v>2756</v>
      </c>
      <c r="C652" t="s">
        <v>2800</v>
      </c>
      <c r="D652" t="s">
        <v>2801</v>
      </c>
      <c r="E652" t="s">
        <v>325</v>
      </c>
      <c r="F652" t="s">
        <v>2801</v>
      </c>
      <c r="G652" t="s">
        <v>2801</v>
      </c>
      <c r="H652" t="s">
        <v>306</v>
      </c>
      <c r="I652" t="s">
        <v>307</v>
      </c>
      <c r="J652" t="s">
        <v>328</v>
      </c>
      <c r="K652" t="s">
        <v>122</v>
      </c>
      <c r="L652" t="s">
        <v>319</v>
      </c>
      <c r="M652" t="s">
        <v>2802</v>
      </c>
      <c r="N652" t="s">
        <v>2802</v>
      </c>
    </row>
    <row r="653" spans="1:14">
      <c r="A653" t="s">
        <v>2803</v>
      </c>
      <c r="B653" t="s">
        <v>469</v>
      </c>
      <c r="C653" t="s">
        <v>470</v>
      </c>
      <c r="D653" t="s">
        <v>1456</v>
      </c>
      <c r="E653" t="s">
        <v>325</v>
      </c>
      <c r="F653" t="s">
        <v>1456</v>
      </c>
      <c r="G653" t="s">
        <v>1456</v>
      </c>
      <c r="H653" t="s">
        <v>306</v>
      </c>
      <c r="I653" t="s">
        <v>307</v>
      </c>
      <c r="J653" t="s">
        <v>328</v>
      </c>
      <c r="K653" t="s">
        <v>122</v>
      </c>
      <c r="L653" t="s">
        <v>329</v>
      </c>
      <c r="M653" t="s">
        <v>2804</v>
      </c>
      <c r="N653" t="s">
        <v>2804</v>
      </c>
    </row>
    <row r="654" spans="1:14">
      <c r="A654" t="s">
        <v>2805</v>
      </c>
      <c r="B654" t="s">
        <v>302</v>
      </c>
      <c r="C654" t="s">
        <v>2806</v>
      </c>
      <c r="D654" t="s">
        <v>2807</v>
      </c>
      <c r="E654" t="s">
        <v>325</v>
      </c>
      <c r="F654" t="s">
        <v>2807</v>
      </c>
      <c r="G654" t="s">
        <v>2807</v>
      </c>
      <c r="H654" t="s">
        <v>306</v>
      </c>
      <c r="I654" t="s">
        <v>327</v>
      </c>
      <c r="J654" t="s">
        <v>308</v>
      </c>
      <c r="K654" t="s">
        <v>122</v>
      </c>
      <c r="L654" t="s">
        <v>358</v>
      </c>
      <c r="M654" t="s">
        <v>2808</v>
      </c>
      <c r="N654" t="s">
        <v>2808</v>
      </c>
    </row>
    <row r="655" spans="1:14">
      <c r="A655" t="s">
        <v>2809</v>
      </c>
      <c r="B655" t="s">
        <v>880</v>
      </c>
      <c r="C655" t="s">
        <v>881</v>
      </c>
      <c r="D655" t="s">
        <v>2810</v>
      </c>
      <c r="E655" t="s">
        <v>335</v>
      </c>
      <c r="F655" t="s">
        <v>2810</v>
      </c>
      <c r="G655" t="s">
        <v>2810</v>
      </c>
      <c r="H655" t="s">
        <v>316</v>
      </c>
      <c r="I655" t="s">
        <v>317</v>
      </c>
      <c r="J655" t="s">
        <v>318</v>
      </c>
      <c r="K655" t="s">
        <v>122</v>
      </c>
      <c r="L655" t="s">
        <v>381</v>
      </c>
      <c r="M655" t="s">
        <v>2811</v>
      </c>
      <c r="N655" t="s">
        <v>2811</v>
      </c>
    </row>
    <row r="656" spans="1:14">
      <c r="A656" t="s">
        <v>2812</v>
      </c>
      <c r="B656" t="s">
        <v>2813</v>
      </c>
      <c r="C656" t="s">
        <v>2814</v>
      </c>
      <c r="D656" t="s">
        <v>2815</v>
      </c>
      <c r="E656" t="s">
        <v>871</v>
      </c>
      <c r="F656" t="s">
        <v>2815</v>
      </c>
      <c r="G656" t="s">
        <v>2815</v>
      </c>
      <c r="H656" t="s">
        <v>316</v>
      </c>
      <c r="I656" t="s">
        <v>317</v>
      </c>
      <c r="J656" t="s">
        <v>376</v>
      </c>
      <c r="K656" t="s">
        <v>122</v>
      </c>
      <c r="L656" t="s">
        <v>368</v>
      </c>
      <c r="M656" t="s">
        <v>2812</v>
      </c>
      <c r="N656" t="s">
        <v>2812</v>
      </c>
    </row>
    <row r="657" spans="1:14">
      <c r="A657" t="s">
        <v>2816</v>
      </c>
      <c r="B657" t="s">
        <v>2817</v>
      </c>
      <c r="C657" t="s">
        <v>2818</v>
      </c>
      <c r="D657" t="s">
        <v>2819</v>
      </c>
      <c r="E657" t="s">
        <v>315</v>
      </c>
      <c r="F657" t="s">
        <v>2819</v>
      </c>
      <c r="G657" t="s">
        <v>2819</v>
      </c>
      <c r="H657" t="s">
        <v>316</v>
      </c>
      <c r="I657" t="s">
        <v>317</v>
      </c>
      <c r="J657" t="s">
        <v>318</v>
      </c>
      <c r="K657" t="s">
        <v>122</v>
      </c>
      <c r="L657" t="s">
        <v>350</v>
      </c>
      <c r="M657" t="s">
        <v>2820</v>
      </c>
      <c r="N657" t="s">
        <v>2820</v>
      </c>
    </row>
    <row r="658" spans="1:14">
      <c r="A658" t="s">
        <v>2821</v>
      </c>
      <c r="B658" t="s">
        <v>2822</v>
      </c>
      <c r="C658" t="s">
        <v>2823</v>
      </c>
      <c r="D658" t="s">
        <v>2824</v>
      </c>
      <c r="E658" t="s">
        <v>315</v>
      </c>
      <c r="F658" t="s">
        <v>2824</v>
      </c>
      <c r="G658" t="s">
        <v>2824</v>
      </c>
      <c r="H658" t="s">
        <v>316</v>
      </c>
      <c r="I658" t="s">
        <v>531</v>
      </c>
      <c r="J658" t="s">
        <v>318</v>
      </c>
      <c r="K658" t="s">
        <v>122</v>
      </c>
      <c r="L658" t="s">
        <v>381</v>
      </c>
      <c r="M658" t="s">
        <v>2825</v>
      </c>
      <c r="N658" t="s">
        <v>2825</v>
      </c>
    </row>
    <row r="659" spans="1:14">
      <c r="A659" t="s">
        <v>2826</v>
      </c>
      <c r="B659" t="s">
        <v>302</v>
      </c>
      <c r="C659" t="s">
        <v>2827</v>
      </c>
      <c r="D659" t="s">
        <v>2828</v>
      </c>
      <c r="E659" t="s">
        <v>325</v>
      </c>
      <c r="F659" t="s">
        <v>2828</v>
      </c>
      <c r="G659" t="s">
        <v>2828</v>
      </c>
      <c r="H659" t="s">
        <v>326</v>
      </c>
      <c r="I659" t="s">
        <v>327</v>
      </c>
      <c r="J659" t="s">
        <v>328</v>
      </c>
      <c r="K659" t="s">
        <v>122</v>
      </c>
      <c r="L659" t="s">
        <v>329</v>
      </c>
      <c r="M659" t="s">
        <v>2829</v>
      </c>
      <c r="N659" t="s">
        <v>2829</v>
      </c>
    </row>
    <row r="660" spans="1:14">
      <c r="A660" t="s">
        <v>2830</v>
      </c>
      <c r="B660" t="s">
        <v>1637</v>
      </c>
      <c r="C660" t="s">
        <v>2831</v>
      </c>
      <c r="D660" t="s">
        <v>2832</v>
      </c>
      <c r="E660" t="s">
        <v>343</v>
      </c>
      <c r="F660" t="s">
        <v>2832</v>
      </c>
      <c r="G660" t="s">
        <v>2832</v>
      </c>
      <c r="H660" t="s">
        <v>326</v>
      </c>
      <c r="I660" t="s">
        <v>327</v>
      </c>
      <c r="J660" t="s">
        <v>397</v>
      </c>
      <c r="K660" t="s">
        <v>122</v>
      </c>
      <c r="L660" t="s">
        <v>498</v>
      </c>
      <c r="M660" t="s">
        <v>2829</v>
      </c>
      <c r="N660" t="s">
        <v>2829</v>
      </c>
    </row>
    <row r="661" spans="1:14">
      <c r="A661" t="s">
        <v>2833</v>
      </c>
      <c r="B661" t="s">
        <v>2834</v>
      </c>
      <c r="C661" t="s">
        <v>2835</v>
      </c>
      <c r="D661" t="s">
        <v>2836</v>
      </c>
      <c r="E661" t="s">
        <v>325</v>
      </c>
      <c r="F661" t="s">
        <v>2836</v>
      </c>
      <c r="G661" t="s">
        <v>2836</v>
      </c>
      <c r="H661" t="s">
        <v>326</v>
      </c>
      <c r="I661" t="s">
        <v>327</v>
      </c>
      <c r="J661" t="s">
        <v>397</v>
      </c>
      <c r="K661" t="s">
        <v>122</v>
      </c>
      <c r="L661" t="s">
        <v>344</v>
      </c>
      <c r="M661" t="s">
        <v>2837</v>
      </c>
      <c r="N661" t="s">
        <v>2837</v>
      </c>
    </row>
    <row r="662" spans="1:14">
      <c r="A662" t="s">
        <v>2838</v>
      </c>
      <c r="B662" t="s">
        <v>1637</v>
      </c>
      <c r="C662" t="s">
        <v>2839</v>
      </c>
      <c r="D662" t="s">
        <v>262</v>
      </c>
      <c r="E662" t="s">
        <v>343</v>
      </c>
      <c r="F662" t="s">
        <v>262</v>
      </c>
      <c r="G662" t="s">
        <v>262</v>
      </c>
      <c r="H662" t="s">
        <v>326</v>
      </c>
      <c r="I662" t="s">
        <v>327</v>
      </c>
      <c r="J662" t="s">
        <v>367</v>
      </c>
      <c r="K662" t="s">
        <v>122</v>
      </c>
      <c r="L662" t="s">
        <v>337</v>
      </c>
      <c r="M662" t="s">
        <v>2837</v>
      </c>
      <c r="N662" t="s">
        <v>2837</v>
      </c>
    </row>
    <row r="663" spans="1:14">
      <c r="A663" t="s">
        <v>2840</v>
      </c>
      <c r="B663" t="s">
        <v>939</v>
      </c>
      <c r="C663" t="s">
        <v>940</v>
      </c>
      <c r="D663" t="s">
        <v>2841</v>
      </c>
      <c r="E663" t="s">
        <v>364</v>
      </c>
      <c r="F663" t="s">
        <v>2841</v>
      </c>
      <c r="G663" t="s">
        <v>2841</v>
      </c>
      <c r="H663" t="s">
        <v>316</v>
      </c>
      <c r="I663" t="s">
        <v>531</v>
      </c>
      <c r="J663" t="s">
        <v>944</v>
      </c>
      <c r="K663" t="s">
        <v>486</v>
      </c>
      <c r="L663" t="s">
        <v>381</v>
      </c>
      <c r="M663" t="s">
        <v>2842</v>
      </c>
      <c r="N663" t="s">
        <v>2842</v>
      </c>
    </row>
    <row r="664" spans="1:14">
      <c r="A664" t="s">
        <v>2843</v>
      </c>
      <c r="B664" t="s">
        <v>2762</v>
      </c>
      <c r="C664" t="s">
        <v>2844</v>
      </c>
      <c r="D664" t="s">
        <v>2845</v>
      </c>
      <c r="E664" t="s">
        <v>315</v>
      </c>
      <c r="F664" t="s">
        <v>2845</v>
      </c>
      <c r="G664" t="s">
        <v>2845</v>
      </c>
      <c r="H664" t="s">
        <v>326</v>
      </c>
      <c r="I664" t="s">
        <v>327</v>
      </c>
      <c r="J664" t="s">
        <v>308</v>
      </c>
      <c r="K664" t="s">
        <v>122</v>
      </c>
      <c r="L664" t="s">
        <v>350</v>
      </c>
      <c r="M664" t="s">
        <v>2846</v>
      </c>
      <c r="N664" t="s">
        <v>2846</v>
      </c>
    </row>
    <row r="665" spans="1:14">
      <c r="A665" t="s">
        <v>2847</v>
      </c>
      <c r="B665" t="s">
        <v>2848</v>
      </c>
      <c r="C665" t="s">
        <v>2849</v>
      </c>
      <c r="D665" t="s">
        <v>2850</v>
      </c>
      <c r="E665" t="s">
        <v>335</v>
      </c>
      <c r="F665" t="s">
        <v>2850</v>
      </c>
      <c r="G665" t="s">
        <v>2850</v>
      </c>
      <c r="H665" t="s">
        <v>326</v>
      </c>
      <c r="I665" t="s">
        <v>327</v>
      </c>
      <c r="J665" t="s">
        <v>308</v>
      </c>
      <c r="K665" t="s">
        <v>122</v>
      </c>
      <c r="L665" t="s">
        <v>381</v>
      </c>
      <c r="M665" t="s">
        <v>2851</v>
      </c>
      <c r="N665" t="s">
        <v>2851</v>
      </c>
    </row>
    <row r="666" spans="1:14">
      <c r="A666" t="s">
        <v>2852</v>
      </c>
      <c r="B666" t="s">
        <v>2853</v>
      </c>
      <c r="C666" t="s">
        <v>2854</v>
      </c>
      <c r="D666" t="s">
        <v>2222</v>
      </c>
      <c r="E666" t="s">
        <v>343</v>
      </c>
      <c r="F666" t="s">
        <v>2222</v>
      </c>
      <c r="G666" t="s">
        <v>2222</v>
      </c>
      <c r="H666" t="s">
        <v>306</v>
      </c>
      <c r="I666" t="s">
        <v>307</v>
      </c>
      <c r="J666" t="s">
        <v>424</v>
      </c>
      <c r="K666" t="s">
        <v>122</v>
      </c>
      <c r="L666" t="s">
        <v>451</v>
      </c>
      <c r="M666" t="s">
        <v>2855</v>
      </c>
      <c r="N666" t="s">
        <v>2855</v>
      </c>
    </row>
    <row r="667" spans="1:14">
      <c r="A667" t="s">
        <v>2856</v>
      </c>
      <c r="B667" t="s">
        <v>2857</v>
      </c>
      <c r="C667" t="s">
        <v>2858</v>
      </c>
      <c r="D667" t="s">
        <v>2859</v>
      </c>
      <c r="E667" t="s">
        <v>335</v>
      </c>
      <c r="F667" t="s">
        <v>1248</v>
      </c>
      <c r="G667" t="s">
        <v>1248</v>
      </c>
      <c r="H667" t="s">
        <v>326</v>
      </c>
      <c r="I667" t="s">
        <v>327</v>
      </c>
      <c r="J667" t="s">
        <v>367</v>
      </c>
      <c r="K667" t="s">
        <v>122</v>
      </c>
      <c r="L667" t="s">
        <v>350</v>
      </c>
      <c r="M667" t="s">
        <v>2860</v>
      </c>
      <c r="N667" t="s">
        <v>2860</v>
      </c>
    </row>
    <row r="668" spans="1:14">
      <c r="A668" t="s">
        <v>2861</v>
      </c>
      <c r="B668" t="s">
        <v>1420</v>
      </c>
      <c r="C668" t="s">
        <v>1421</v>
      </c>
      <c r="D668" t="s">
        <v>1410</v>
      </c>
      <c r="E668" t="s">
        <v>335</v>
      </c>
      <c r="F668" t="s">
        <v>1410</v>
      </c>
      <c r="G668" t="s">
        <v>1410</v>
      </c>
      <c r="H668" t="s">
        <v>306</v>
      </c>
      <c r="I668" t="s">
        <v>307</v>
      </c>
      <c r="J668" t="s">
        <v>308</v>
      </c>
      <c r="K668" t="s">
        <v>122</v>
      </c>
      <c r="L668" t="s">
        <v>605</v>
      </c>
      <c r="M668" t="s">
        <v>2862</v>
      </c>
      <c r="N668" t="s">
        <v>2862</v>
      </c>
    </row>
    <row r="669" spans="1:14">
      <c r="A669" t="s">
        <v>2863</v>
      </c>
      <c r="B669" t="s">
        <v>2864</v>
      </c>
      <c r="C669" t="s">
        <v>2865</v>
      </c>
      <c r="D669" t="s">
        <v>2866</v>
      </c>
      <c r="E669" t="s">
        <v>343</v>
      </c>
      <c r="F669" t="s">
        <v>2866</v>
      </c>
      <c r="G669" t="s">
        <v>2866</v>
      </c>
      <c r="H669" t="s">
        <v>326</v>
      </c>
      <c r="I669" t="s">
        <v>327</v>
      </c>
      <c r="J669" t="s">
        <v>397</v>
      </c>
      <c r="K669" t="s">
        <v>122</v>
      </c>
      <c r="L669" t="s">
        <v>498</v>
      </c>
      <c r="M669" t="s">
        <v>2829</v>
      </c>
      <c r="N669" t="s">
        <v>2829</v>
      </c>
    </row>
    <row r="670" spans="1:14">
      <c r="A670" t="s">
        <v>2867</v>
      </c>
      <c r="B670" t="s">
        <v>2868</v>
      </c>
      <c r="C670" t="s">
        <v>2869</v>
      </c>
      <c r="D670" t="s">
        <v>2870</v>
      </c>
      <c r="E670" t="s">
        <v>343</v>
      </c>
      <c r="F670" t="s">
        <v>2870</v>
      </c>
      <c r="G670" t="s">
        <v>2870</v>
      </c>
      <c r="H670" t="s">
        <v>326</v>
      </c>
      <c r="I670" t="s">
        <v>327</v>
      </c>
      <c r="J670" t="s">
        <v>397</v>
      </c>
      <c r="K670" t="s">
        <v>122</v>
      </c>
      <c r="L670" t="s">
        <v>498</v>
      </c>
      <c r="M670" t="s">
        <v>2829</v>
      </c>
      <c r="N670" t="s">
        <v>2829</v>
      </c>
    </row>
    <row r="671" spans="1:14">
      <c r="A671" t="s">
        <v>2871</v>
      </c>
      <c r="B671" t="s">
        <v>2872</v>
      </c>
      <c r="C671" t="s">
        <v>2873</v>
      </c>
      <c r="D671" t="s">
        <v>2874</v>
      </c>
      <c r="E671" t="s">
        <v>325</v>
      </c>
      <c r="F671" t="s">
        <v>2874</v>
      </c>
      <c r="G671" t="s">
        <v>2874</v>
      </c>
      <c r="H671" t="s">
        <v>306</v>
      </c>
      <c r="I671" t="s">
        <v>307</v>
      </c>
      <c r="J671" t="s">
        <v>367</v>
      </c>
      <c r="K671" t="s">
        <v>122</v>
      </c>
      <c r="L671" t="s">
        <v>498</v>
      </c>
      <c r="M671" t="s">
        <v>2875</v>
      </c>
      <c r="N671" t="s">
        <v>2875</v>
      </c>
    </row>
    <row r="672" spans="1:14">
      <c r="A672" t="s">
        <v>2876</v>
      </c>
      <c r="B672" t="s">
        <v>947</v>
      </c>
      <c r="C672" t="s">
        <v>2877</v>
      </c>
      <c r="D672" t="s">
        <v>2878</v>
      </c>
      <c r="E672" t="s">
        <v>325</v>
      </c>
      <c r="F672" t="s">
        <v>2878</v>
      </c>
      <c r="G672" t="s">
        <v>2878</v>
      </c>
      <c r="H672" t="s">
        <v>306</v>
      </c>
      <c r="I672" t="s">
        <v>307</v>
      </c>
      <c r="J672" t="s">
        <v>328</v>
      </c>
      <c r="K672" t="s">
        <v>122</v>
      </c>
      <c r="L672" t="s">
        <v>329</v>
      </c>
      <c r="M672" t="s">
        <v>2879</v>
      </c>
      <c r="N672" t="s">
        <v>2879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7D096-28CD-4FA5-8E3A-63950C647342}">
  <sheetPr codeName="Sheet6"/>
  <dimension ref="A1:I1338"/>
  <sheetViews>
    <sheetView workbookViewId="0">
      <selection activeCell="A274" sqref="A274"/>
    </sheetView>
  </sheetViews>
  <sheetFormatPr defaultRowHeight="14.45"/>
  <cols>
    <col min="1" max="2" width="46.140625" style="5" customWidth="1"/>
    <col min="3" max="3" width="21.5703125" bestFit="1" customWidth="1"/>
    <col min="4" max="5" width="14.42578125" bestFit="1" customWidth="1"/>
    <col min="6" max="6" width="10.140625" bestFit="1" customWidth="1"/>
    <col min="7" max="7" width="35" bestFit="1" customWidth="1"/>
    <col min="8" max="8" width="6.85546875" bestFit="1" customWidth="1"/>
    <col min="9" max="9" width="11.5703125" bestFit="1" customWidth="1"/>
    <col min="257" max="258" width="46.140625" customWidth="1"/>
    <col min="259" max="259" width="21.5703125" bestFit="1" customWidth="1"/>
    <col min="260" max="261" width="14.42578125" bestFit="1" customWidth="1"/>
    <col min="262" max="262" width="10.140625" bestFit="1" customWidth="1"/>
    <col min="263" max="263" width="35" bestFit="1" customWidth="1"/>
    <col min="264" max="264" width="6.85546875" bestFit="1" customWidth="1"/>
    <col min="265" max="265" width="11.5703125" bestFit="1" customWidth="1"/>
    <col min="513" max="514" width="46.140625" customWidth="1"/>
    <col min="515" max="515" width="21.5703125" bestFit="1" customWidth="1"/>
    <col min="516" max="517" width="14.42578125" bestFit="1" customWidth="1"/>
    <col min="518" max="518" width="10.140625" bestFit="1" customWidth="1"/>
    <col min="519" max="519" width="35" bestFit="1" customWidth="1"/>
    <col min="520" max="520" width="6.85546875" bestFit="1" customWidth="1"/>
    <col min="521" max="521" width="11.5703125" bestFit="1" customWidth="1"/>
    <col min="769" max="770" width="46.140625" customWidth="1"/>
    <col min="771" max="771" width="21.5703125" bestFit="1" customWidth="1"/>
    <col min="772" max="773" width="14.42578125" bestFit="1" customWidth="1"/>
    <col min="774" max="774" width="10.140625" bestFit="1" customWidth="1"/>
    <col min="775" max="775" width="35" bestFit="1" customWidth="1"/>
    <col min="776" max="776" width="6.85546875" bestFit="1" customWidth="1"/>
    <col min="777" max="777" width="11.5703125" bestFit="1" customWidth="1"/>
    <col min="1025" max="1026" width="46.140625" customWidth="1"/>
    <col min="1027" max="1027" width="21.5703125" bestFit="1" customWidth="1"/>
    <col min="1028" max="1029" width="14.42578125" bestFit="1" customWidth="1"/>
    <col min="1030" max="1030" width="10.140625" bestFit="1" customWidth="1"/>
    <col min="1031" max="1031" width="35" bestFit="1" customWidth="1"/>
    <col min="1032" max="1032" width="6.85546875" bestFit="1" customWidth="1"/>
    <col min="1033" max="1033" width="11.5703125" bestFit="1" customWidth="1"/>
    <col min="1281" max="1282" width="46.140625" customWidth="1"/>
    <col min="1283" max="1283" width="21.5703125" bestFit="1" customWidth="1"/>
    <col min="1284" max="1285" width="14.42578125" bestFit="1" customWidth="1"/>
    <col min="1286" max="1286" width="10.140625" bestFit="1" customWidth="1"/>
    <col min="1287" max="1287" width="35" bestFit="1" customWidth="1"/>
    <col min="1288" max="1288" width="6.85546875" bestFit="1" customWidth="1"/>
    <col min="1289" max="1289" width="11.5703125" bestFit="1" customWidth="1"/>
    <col min="1537" max="1538" width="46.140625" customWidth="1"/>
    <col min="1539" max="1539" width="21.5703125" bestFit="1" customWidth="1"/>
    <col min="1540" max="1541" width="14.42578125" bestFit="1" customWidth="1"/>
    <col min="1542" max="1542" width="10.140625" bestFit="1" customWidth="1"/>
    <col min="1543" max="1543" width="35" bestFit="1" customWidth="1"/>
    <col min="1544" max="1544" width="6.85546875" bestFit="1" customWidth="1"/>
    <col min="1545" max="1545" width="11.5703125" bestFit="1" customWidth="1"/>
    <col min="1793" max="1794" width="46.140625" customWidth="1"/>
    <col min="1795" max="1795" width="21.5703125" bestFit="1" customWidth="1"/>
    <col min="1796" max="1797" width="14.42578125" bestFit="1" customWidth="1"/>
    <col min="1798" max="1798" width="10.140625" bestFit="1" customWidth="1"/>
    <col min="1799" max="1799" width="35" bestFit="1" customWidth="1"/>
    <col min="1800" max="1800" width="6.85546875" bestFit="1" customWidth="1"/>
    <col min="1801" max="1801" width="11.5703125" bestFit="1" customWidth="1"/>
    <col min="2049" max="2050" width="46.140625" customWidth="1"/>
    <col min="2051" max="2051" width="21.5703125" bestFit="1" customWidth="1"/>
    <col min="2052" max="2053" width="14.42578125" bestFit="1" customWidth="1"/>
    <col min="2054" max="2054" width="10.140625" bestFit="1" customWidth="1"/>
    <col min="2055" max="2055" width="35" bestFit="1" customWidth="1"/>
    <col min="2056" max="2056" width="6.85546875" bestFit="1" customWidth="1"/>
    <col min="2057" max="2057" width="11.5703125" bestFit="1" customWidth="1"/>
    <col min="2305" max="2306" width="46.140625" customWidth="1"/>
    <col min="2307" max="2307" width="21.5703125" bestFit="1" customWidth="1"/>
    <col min="2308" max="2309" width="14.42578125" bestFit="1" customWidth="1"/>
    <col min="2310" max="2310" width="10.140625" bestFit="1" customWidth="1"/>
    <col min="2311" max="2311" width="35" bestFit="1" customWidth="1"/>
    <col min="2312" max="2312" width="6.85546875" bestFit="1" customWidth="1"/>
    <col min="2313" max="2313" width="11.5703125" bestFit="1" customWidth="1"/>
    <col min="2561" max="2562" width="46.140625" customWidth="1"/>
    <col min="2563" max="2563" width="21.5703125" bestFit="1" customWidth="1"/>
    <col min="2564" max="2565" width="14.42578125" bestFit="1" customWidth="1"/>
    <col min="2566" max="2566" width="10.140625" bestFit="1" customWidth="1"/>
    <col min="2567" max="2567" width="35" bestFit="1" customWidth="1"/>
    <col min="2568" max="2568" width="6.85546875" bestFit="1" customWidth="1"/>
    <col min="2569" max="2569" width="11.5703125" bestFit="1" customWidth="1"/>
    <col min="2817" max="2818" width="46.140625" customWidth="1"/>
    <col min="2819" max="2819" width="21.5703125" bestFit="1" customWidth="1"/>
    <col min="2820" max="2821" width="14.42578125" bestFit="1" customWidth="1"/>
    <col min="2822" max="2822" width="10.140625" bestFit="1" customWidth="1"/>
    <col min="2823" max="2823" width="35" bestFit="1" customWidth="1"/>
    <col min="2824" max="2824" width="6.85546875" bestFit="1" customWidth="1"/>
    <col min="2825" max="2825" width="11.5703125" bestFit="1" customWidth="1"/>
    <col min="3073" max="3074" width="46.140625" customWidth="1"/>
    <col min="3075" max="3075" width="21.5703125" bestFit="1" customWidth="1"/>
    <col min="3076" max="3077" width="14.42578125" bestFit="1" customWidth="1"/>
    <col min="3078" max="3078" width="10.140625" bestFit="1" customWidth="1"/>
    <col min="3079" max="3079" width="35" bestFit="1" customWidth="1"/>
    <col min="3080" max="3080" width="6.85546875" bestFit="1" customWidth="1"/>
    <col min="3081" max="3081" width="11.5703125" bestFit="1" customWidth="1"/>
    <col min="3329" max="3330" width="46.140625" customWidth="1"/>
    <col min="3331" max="3331" width="21.5703125" bestFit="1" customWidth="1"/>
    <col min="3332" max="3333" width="14.42578125" bestFit="1" customWidth="1"/>
    <col min="3334" max="3334" width="10.140625" bestFit="1" customWidth="1"/>
    <col min="3335" max="3335" width="35" bestFit="1" customWidth="1"/>
    <col min="3336" max="3336" width="6.85546875" bestFit="1" customWidth="1"/>
    <col min="3337" max="3337" width="11.5703125" bestFit="1" customWidth="1"/>
    <col min="3585" max="3586" width="46.140625" customWidth="1"/>
    <col min="3587" max="3587" width="21.5703125" bestFit="1" customWidth="1"/>
    <col min="3588" max="3589" width="14.42578125" bestFit="1" customWidth="1"/>
    <col min="3590" max="3590" width="10.140625" bestFit="1" customWidth="1"/>
    <col min="3591" max="3591" width="35" bestFit="1" customWidth="1"/>
    <col min="3592" max="3592" width="6.85546875" bestFit="1" customWidth="1"/>
    <col min="3593" max="3593" width="11.5703125" bestFit="1" customWidth="1"/>
    <col min="3841" max="3842" width="46.140625" customWidth="1"/>
    <col min="3843" max="3843" width="21.5703125" bestFit="1" customWidth="1"/>
    <col min="3844" max="3845" width="14.42578125" bestFit="1" customWidth="1"/>
    <col min="3846" max="3846" width="10.140625" bestFit="1" customWidth="1"/>
    <col min="3847" max="3847" width="35" bestFit="1" customWidth="1"/>
    <col min="3848" max="3848" width="6.85546875" bestFit="1" customWidth="1"/>
    <col min="3849" max="3849" width="11.5703125" bestFit="1" customWidth="1"/>
    <col min="4097" max="4098" width="46.140625" customWidth="1"/>
    <col min="4099" max="4099" width="21.5703125" bestFit="1" customWidth="1"/>
    <col min="4100" max="4101" width="14.42578125" bestFit="1" customWidth="1"/>
    <col min="4102" max="4102" width="10.140625" bestFit="1" customWidth="1"/>
    <col min="4103" max="4103" width="35" bestFit="1" customWidth="1"/>
    <col min="4104" max="4104" width="6.85546875" bestFit="1" customWidth="1"/>
    <col min="4105" max="4105" width="11.5703125" bestFit="1" customWidth="1"/>
    <col min="4353" max="4354" width="46.140625" customWidth="1"/>
    <col min="4355" max="4355" width="21.5703125" bestFit="1" customWidth="1"/>
    <col min="4356" max="4357" width="14.42578125" bestFit="1" customWidth="1"/>
    <col min="4358" max="4358" width="10.140625" bestFit="1" customWidth="1"/>
    <col min="4359" max="4359" width="35" bestFit="1" customWidth="1"/>
    <col min="4360" max="4360" width="6.85546875" bestFit="1" customWidth="1"/>
    <col min="4361" max="4361" width="11.5703125" bestFit="1" customWidth="1"/>
    <col min="4609" max="4610" width="46.140625" customWidth="1"/>
    <col min="4611" max="4611" width="21.5703125" bestFit="1" customWidth="1"/>
    <col min="4612" max="4613" width="14.42578125" bestFit="1" customWidth="1"/>
    <col min="4614" max="4614" width="10.140625" bestFit="1" customWidth="1"/>
    <col min="4615" max="4615" width="35" bestFit="1" customWidth="1"/>
    <col min="4616" max="4616" width="6.85546875" bestFit="1" customWidth="1"/>
    <col min="4617" max="4617" width="11.5703125" bestFit="1" customWidth="1"/>
    <col min="4865" max="4866" width="46.140625" customWidth="1"/>
    <col min="4867" max="4867" width="21.5703125" bestFit="1" customWidth="1"/>
    <col min="4868" max="4869" width="14.42578125" bestFit="1" customWidth="1"/>
    <col min="4870" max="4870" width="10.140625" bestFit="1" customWidth="1"/>
    <col min="4871" max="4871" width="35" bestFit="1" customWidth="1"/>
    <col min="4872" max="4872" width="6.85546875" bestFit="1" customWidth="1"/>
    <col min="4873" max="4873" width="11.5703125" bestFit="1" customWidth="1"/>
    <col min="5121" max="5122" width="46.140625" customWidth="1"/>
    <col min="5123" max="5123" width="21.5703125" bestFit="1" customWidth="1"/>
    <col min="5124" max="5125" width="14.42578125" bestFit="1" customWidth="1"/>
    <col min="5126" max="5126" width="10.140625" bestFit="1" customWidth="1"/>
    <col min="5127" max="5127" width="35" bestFit="1" customWidth="1"/>
    <col min="5128" max="5128" width="6.85546875" bestFit="1" customWidth="1"/>
    <col min="5129" max="5129" width="11.5703125" bestFit="1" customWidth="1"/>
    <col min="5377" max="5378" width="46.140625" customWidth="1"/>
    <col min="5379" max="5379" width="21.5703125" bestFit="1" customWidth="1"/>
    <col min="5380" max="5381" width="14.42578125" bestFit="1" customWidth="1"/>
    <col min="5382" max="5382" width="10.140625" bestFit="1" customWidth="1"/>
    <col min="5383" max="5383" width="35" bestFit="1" customWidth="1"/>
    <col min="5384" max="5384" width="6.85546875" bestFit="1" customWidth="1"/>
    <col min="5385" max="5385" width="11.5703125" bestFit="1" customWidth="1"/>
    <col min="5633" max="5634" width="46.140625" customWidth="1"/>
    <col min="5635" max="5635" width="21.5703125" bestFit="1" customWidth="1"/>
    <col min="5636" max="5637" width="14.42578125" bestFit="1" customWidth="1"/>
    <col min="5638" max="5638" width="10.140625" bestFit="1" customWidth="1"/>
    <col min="5639" max="5639" width="35" bestFit="1" customWidth="1"/>
    <col min="5640" max="5640" width="6.85546875" bestFit="1" customWidth="1"/>
    <col min="5641" max="5641" width="11.5703125" bestFit="1" customWidth="1"/>
    <col min="5889" max="5890" width="46.140625" customWidth="1"/>
    <col min="5891" max="5891" width="21.5703125" bestFit="1" customWidth="1"/>
    <col min="5892" max="5893" width="14.42578125" bestFit="1" customWidth="1"/>
    <col min="5894" max="5894" width="10.140625" bestFit="1" customWidth="1"/>
    <col min="5895" max="5895" width="35" bestFit="1" customWidth="1"/>
    <col min="5896" max="5896" width="6.85546875" bestFit="1" customWidth="1"/>
    <col min="5897" max="5897" width="11.5703125" bestFit="1" customWidth="1"/>
    <col min="6145" max="6146" width="46.140625" customWidth="1"/>
    <col min="6147" max="6147" width="21.5703125" bestFit="1" customWidth="1"/>
    <col min="6148" max="6149" width="14.42578125" bestFit="1" customWidth="1"/>
    <col min="6150" max="6150" width="10.140625" bestFit="1" customWidth="1"/>
    <col min="6151" max="6151" width="35" bestFit="1" customWidth="1"/>
    <col min="6152" max="6152" width="6.85546875" bestFit="1" customWidth="1"/>
    <col min="6153" max="6153" width="11.5703125" bestFit="1" customWidth="1"/>
    <col min="6401" max="6402" width="46.140625" customWidth="1"/>
    <col min="6403" max="6403" width="21.5703125" bestFit="1" customWidth="1"/>
    <col min="6404" max="6405" width="14.42578125" bestFit="1" customWidth="1"/>
    <col min="6406" max="6406" width="10.140625" bestFit="1" customWidth="1"/>
    <col min="6407" max="6407" width="35" bestFit="1" customWidth="1"/>
    <col min="6408" max="6408" width="6.85546875" bestFit="1" customWidth="1"/>
    <col min="6409" max="6409" width="11.5703125" bestFit="1" customWidth="1"/>
    <col min="6657" max="6658" width="46.140625" customWidth="1"/>
    <col min="6659" max="6659" width="21.5703125" bestFit="1" customWidth="1"/>
    <col min="6660" max="6661" width="14.42578125" bestFit="1" customWidth="1"/>
    <col min="6662" max="6662" width="10.140625" bestFit="1" customWidth="1"/>
    <col min="6663" max="6663" width="35" bestFit="1" customWidth="1"/>
    <col min="6664" max="6664" width="6.85546875" bestFit="1" customWidth="1"/>
    <col min="6665" max="6665" width="11.5703125" bestFit="1" customWidth="1"/>
    <col min="6913" max="6914" width="46.140625" customWidth="1"/>
    <col min="6915" max="6915" width="21.5703125" bestFit="1" customWidth="1"/>
    <col min="6916" max="6917" width="14.42578125" bestFit="1" customWidth="1"/>
    <col min="6918" max="6918" width="10.140625" bestFit="1" customWidth="1"/>
    <col min="6919" max="6919" width="35" bestFit="1" customWidth="1"/>
    <col min="6920" max="6920" width="6.85546875" bestFit="1" customWidth="1"/>
    <col min="6921" max="6921" width="11.5703125" bestFit="1" customWidth="1"/>
    <col min="7169" max="7170" width="46.140625" customWidth="1"/>
    <col min="7171" max="7171" width="21.5703125" bestFit="1" customWidth="1"/>
    <col min="7172" max="7173" width="14.42578125" bestFit="1" customWidth="1"/>
    <col min="7174" max="7174" width="10.140625" bestFit="1" customWidth="1"/>
    <col min="7175" max="7175" width="35" bestFit="1" customWidth="1"/>
    <col min="7176" max="7176" width="6.85546875" bestFit="1" customWidth="1"/>
    <col min="7177" max="7177" width="11.5703125" bestFit="1" customWidth="1"/>
    <col min="7425" max="7426" width="46.140625" customWidth="1"/>
    <col min="7427" max="7427" width="21.5703125" bestFit="1" customWidth="1"/>
    <col min="7428" max="7429" width="14.42578125" bestFit="1" customWidth="1"/>
    <col min="7430" max="7430" width="10.140625" bestFit="1" customWidth="1"/>
    <col min="7431" max="7431" width="35" bestFit="1" customWidth="1"/>
    <col min="7432" max="7432" width="6.85546875" bestFit="1" customWidth="1"/>
    <col min="7433" max="7433" width="11.5703125" bestFit="1" customWidth="1"/>
    <col min="7681" max="7682" width="46.140625" customWidth="1"/>
    <col min="7683" max="7683" width="21.5703125" bestFit="1" customWidth="1"/>
    <col min="7684" max="7685" width="14.42578125" bestFit="1" customWidth="1"/>
    <col min="7686" max="7686" width="10.140625" bestFit="1" customWidth="1"/>
    <col min="7687" max="7687" width="35" bestFit="1" customWidth="1"/>
    <col min="7688" max="7688" width="6.85546875" bestFit="1" customWidth="1"/>
    <col min="7689" max="7689" width="11.5703125" bestFit="1" customWidth="1"/>
    <col min="7937" max="7938" width="46.140625" customWidth="1"/>
    <col min="7939" max="7939" width="21.5703125" bestFit="1" customWidth="1"/>
    <col min="7940" max="7941" width="14.42578125" bestFit="1" customWidth="1"/>
    <col min="7942" max="7942" width="10.140625" bestFit="1" customWidth="1"/>
    <col min="7943" max="7943" width="35" bestFit="1" customWidth="1"/>
    <col min="7944" max="7944" width="6.85546875" bestFit="1" customWidth="1"/>
    <col min="7945" max="7945" width="11.5703125" bestFit="1" customWidth="1"/>
    <col min="8193" max="8194" width="46.140625" customWidth="1"/>
    <col min="8195" max="8195" width="21.5703125" bestFit="1" customWidth="1"/>
    <col min="8196" max="8197" width="14.42578125" bestFit="1" customWidth="1"/>
    <col min="8198" max="8198" width="10.140625" bestFit="1" customWidth="1"/>
    <col min="8199" max="8199" width="35" bestFit="1" customWidth="1"/>
    <col min="8200" max="8200" width="6.85546875" bestFit="1" customWidth="1"/>
    <col min="8201" max="8201" width="11.5703125" bestFit="1" customWidth="1"/>
    <col min="8449" max="8450" width="46.140625" customWidth="1"/>
    <col min="8451" max="8451" width="21.5703125" bestFit="1" customWidth="1"/>
    <col min="8452" max="8453" width="14.42578125" bestFit="1" customWidth="1"/>
    <col min="8454" max="8454" width="10.140625" bestFit="1" customWidth="1"/>
    <col min="8455" max="8455" width="35" bestFit="1" customWidth="1"/>
    <col min="8456" max="8456" width="6.85546875" bestFit="1" customWidth="1"/>
    <col min="8457" max="8457" width="11.5703125" bestFit="1" customWidth="1"/>
    <col min="8705" max="8706" width="46.140625" customWidth="1"/>
    <col min="8707" max="8707" width="21.5703125" bestFit="1" customWidth="1"/>
    <col min="8708" max="8709" width="14.42578125" bestFit="1" customWidth="1"/>
    <col min="8710" max="8710" width="10.140625" bestFit="1" customWidth="1"/>
    <col min="8711" max="8711" width="35" bestFit="1" customWidth="1"/>
    <col min="8712" max="8712" width="6.85546875" bestFit="1" customWidth="1"/>
    <col min="8713" max="8713" width="11.5703125" bestFit="1" customWidth="1"/>
    <col min="8961" max="8962" width="46.140625" customWidth="1"/>
    <col min="8963" max="8963" width="21.5703125" bestFit="1" customWidth="1"/>
    <col min="8964" max="8965" width="14.42578125" bestFit="1" customWidth="1"/>
    <col min="8966" max="8966" width="10.140625" bestFit="1" customWidth="1"/>
    <col min="8967" max="8967" width="35" bestFit="1" customWidth="1"/>
    <col min="8968" max="8968" width="6.85546875" bestFit="1" customWidth="1"/>
    <col min="8969" max="8969" width="11.5703125" bestFit="1" customWidth="1"/>
    <col min="9217" max="9218" width="46.140625" customWidth="1"/>
    <col min="9219" max="9219" width="21.5703125" bestFit="1" customWidth="1"/>
    <col min="9220" max="9221" width="14.42578125" bestFit="1" customWidth="1"/>
    <col min="9222" max="9222" width="10.140625" bestFit="1" customWidth="1"/>
    <col min="9223" max="9223" width="35" bestFit="1" customWidth="1"/>
    <col min="9224" max="9224" width="6.85546875" bestFit="1" customWidth="1"/>
    <col min="9225" max="9225" width="11.5703125" bestFit="1" customWidth="1"/>
    <col min="9473" max="9474" width="46.140625" customWidth="1"/>
    <col min="9475" max="9475" width="21.5703125" bestFit="1" customWidth="1"/>
    <col min="9476" max="9477" width="14.42578125" bestFit="1" customWidth="1"/>
    <col min="9478" max="9478" width="10.140625" bestFit="1" customWidth="1"/>
    <col min="9479" max="9479" width="35" bestFit="1" customWidth="1"/>
    <col min="9480" max="9480" width="6.85546875" bestFit="1" customWidth="1"/>
    <col min="9481" max="9481" width="11.5703125" bestFit="1" customWidth="1"/>
    <col min="9729" max="9730" width="46.140625" customWidth="1"/>
    <col min="9731" max="9731" width="21.5703125" bestFit="1" customWidth="1"/>
    <col min="9732" max="9733" width="14.42578125" bestFit="1" customWidth="1"/>
    <col min="9734" max="9734" width="10.140625" bestFit="1" customWidth="1"/>
    <col min="9735" max="9735" width="35" bestFit="1" customWidth="1"/>
    <col min="9736" max="9736" width="6.85546875" bestFit="1" customWidth="1"/>
    <col min="9737" max="9737" width="11.5703125" bestFit="1" customWidth="1"/>
    <col min="9985" max="9986" width="46.140625" customWidth="1"/>
    <col min="9987" max="9987" width="21.5703125" bestFit="1" customWidth="1"/>
    <col min="9988" max="9989" width="14.42578125" bestFit="1" customWidth="1"/>
    <col min="9990" max="9990" width="10.140625" bestFit="1" customWidth="1"/>
    <col min="9991" max="9991" width="35" bestFit="1" customWidth="1"/>
    <col min="9992" max="9992" width="6.85546875" bestFit="1" customWidth="1"/>
    <col min="9993" max="9993" width="11.5703125" bestFit="1" customWidth="1"/>
    <col min="10241" max="10242" width="46.140625" customWidth="1"/>
    <col min="10243" max="10243" width="21.5703125" bestFit="1" customWidth="1"/>
    <col min="10244" max="10245" width="14.42578125" bestFit="1" customWidth="1"/>
    <col min="10246" max="10246" width="10.140625" bestFit="1" customWidth="1"/>
    <col min="10247" max="10247" width="35" bestFit="1" customWidth="1"/>
    <col min="10248" max="10248" width="6.85546875" bestFit="1" customWidth="1"/>
    <col min="10249" max="10249" width="11.5703125" bestFit="1" customWidth="1"/>
    <col min="10497" max="10498" width="46.140625" customWidth="1"/>
    <col min="10499" max="10499" width="21.5703125" bestFit="1" customWidth="1"/>
    <col min="10500" max="10501" width="14.42578125" bestFit="1" customWidth="1"/>
    <col min="10502" max="10502" width="10.140625" bestFit="1" customWidth="1"/>
    <col min="10503" max="10503" width="35" bestFit="1" customWidth="1"/>
    <col min="10504" max="10504" width="6.85546875" bestFit="1" customWidth="1"/>
    <col min="10505" max="10505" width="11.5703125" bestFit="1" customWidth="1"/>
    <col min="10753" max="10754" width="46.140625" customWidth="1"/>
    <col min="10755" max="10755" width="21.5703125" bestFit="1" customWidth="1"/>
    <col min="10756" max="10757" width="14.42578125" bestFit="1" customWidth="1"/>
    <col min="10758" max="10758" width="10.140625" bestFit="1" customWidth="1"/>
    <col min="10759" max="10759" width="35" bestFit="1" customWidth="1"/>
    <col min="10760" max="10760" width="6.85546875" bestFit="1" customWidth="1"/>
    <col min="10761" max="10761" width="11.5703125" bestFit="1" customWidth="1"/>
    <col min="11009" max="11010" width="46.140625" customWidth="1"/>
    <col min="11011" max="11011" width="21.5703125" bestFit="1" customWidth="1"/>
    <col min="11012" max="11013" width="14.42578125" bestFit="1" customWidth="1"/>
    <col min="11014" max="11014" width="10.140625" bestFit="1" customWidth="1"/>
    <col min="11015" max="11015" width="35" bestFit="1" customWidth="1"/>
    <col min="11016" max="11016" width="6.85546875" bestFit="1" customWidth="1"/>
    <col min="11017" max="11017" width="11.5703125" bestFit="1" customWidth="1"/>
    <col min="11265" max="11266" width="46.140625" customWidth="1"/>
    <col min="11267" max="11267" width="21.5703125" bestFit="1" customWidth="1"/>
    <col min="11268" max="11269" width="14.42578125" bestFit="1" customWidth="1"/>
    <col min="11270" max="11270" width="10.140625" bestFit="1" customWidth="1"/>
    <col min="11271" max="11271" width="35" bestFit="1" customWidth="1"/>
    <col min="11272" max="11272" width="6.85546875" bestFit="1" customWidth="1"/>
    <col min="11273" max="11273" width="11.5703125" bestFit="1" customWidth="1"/>
    <col min="11521" max="11522" width="46.140625" customWidth="1"/>
    <col min="11523" max="11523" width="21.5703125" bestFit="1" customWidth="1"/>
    <col min="11524" max="11525" width="14.42578125" bestFit="1" customWidth="1"/>
    <col min="11526" max="11526" width="10.140625" bestFit="1" customWidth="1"/>
    <col min="11527" max="11527" width="35" bestFit="1" customWidth="1"/>
    <col min="11528" max="11528" width="6.85546875" bestFit="1" customWidth="1"/>
    <col min="11529" max="11529" width="11.5703125" bestFit="1" customWidth="1"/>
    <col min="11777" max="11778" width="46.140625" customWidth="1"/>
    <col min="11779" max="11779" width="21.5703125" bestFit="1" customWidth="1"/>
    <col min="11780" max="11781" width="14.42578125" bestFit="1" customWidth="1"/>
    <col min="11782" max="11782" width="10.140625" bestFit="1" customWidth="1"/>
    <col min="11783" max="11783" width="35" bestFit="1" customWidth="1"/>
    <col min="11784" max="11784" width="6.85546875" bestFit="1" customWidth="1"/>
    <col min="11785" max="11785" width="11.5703125" bestFit="1" customWidth="1"/>
    <col min="12033" max="12034" width="46.140625" customWidth="1"/>
    <col min="12035" max="12035" width="21.5703125" bestFit="1" customWidth="1"/>
    <col min="12036" max="12037" width="14.42578125" bestFit="1" customWidth="1"/>
    <col min="12038" max="12038" width="10.140625" bestFit="1" customWidth="1"/>
    <col min="12039" max="12039" width="35" bestFit="1" customWidth="1"/>
    <col min="12040" max="12040" width="6.85546875" bestFit="1" customWidth="1"/>
    <col min="12041" max="12041" width="11.5703125" bestFit="1" customWidth="1"/>
    <col min="12289" max="12290" width="46.140625" customWidth="1"/>
    <col min="12291" max="12291" width="21.5703125" bestFit="1" customWidth="1"/>
    <col min="12292" max="12293" width="14.42578125" bestFit="1" customWidth="1"/>
    <col min="12294" max="12294" width="10.140625" bestFit="1" customWidth="1"/>
    <col min="12295" max="12295" width="35" bestFit="1" customWidth="1"/>
    <col min="12296" max="12296" width="6.85546875" bestFit="1" customWidth="1"/>
    <col min="12297" max="12297" width="11.5703125" bestFit="1" customWidth="1"/>
    <col min="12545" max="12546" width="46.140625" customWidth="1"/>
    <col min="12547" max="12547" width="21.5703125" bestFit="1" customWidth="1"/>
    <col min="12548" max="12549" width="14.42578125" bestFit="1" customWidth="1"/>
    <col min="12550" max="12550" width="10.140625" bestFit="1" customWidth="1"/>
    <col min="12551" max="12551" width="35" bestFit="1" customWidth="1"/>
    <col min="12552" max="12552" width="6.85546875" bestFit="1" customWidth="1"/>
    <col min="12553" max="12553" width="11.5703125" bestFit="1" customWidth="1"/>
    <col min="12801" max="12802" width="46.140625" customWidth="1"/>
    <col min="12803" max="12803" width="21.5703125" bestFit="1" customWidth="1"/>
    <col min="12804" max="12805" width="14.42578125" bestFit="1" customWidth="1"/>
    <col min="12806" max="12806" width="10.140625" bestFit="1" customWidth="1"/>
    <col min="12807" max="12807" width="35" bestFit="1" customWidth="1"/>
    <col min="12808" max="12808" width="6.85546875" bestFit="1" customWidth="1"/>
    <col min="12809" max="12809" width="11.5703125" bestFit="1" customWidth="1"/>
    <col min="13057" max="13058" width="46.140625" customWidth="1"/>
    <col min="13059" max="13059" width="21.5703125" bestFit="1" customWidth="1"/>
    <col min="13060" max="13061" width="14.42578125" bestFit="1" customWidth="1"/>
    <col min="13062" max="13062" width="10.140625" bestFit="1" customWidth="1"/>
    <col min="13063" max="13063" width="35" bestFit="1" customWidth="1"/>
    <col min="13064" max="13064" width="6.85546875" bestFit="1" customWidth="1"/>
    <col min="13065" max="13065" width="11.5703125" bestFit="1" customWidth="1"/>
    <col min="13313" max="13314" width="46.140625" customWidth="1"/>
    <col min="13315" max="13315" width="21.5703125" bestFit="1" customWidth="1"/>
    <col min="13316" max="13317" width="14.42578125" bestFit="1" customWidth="1"/>
    <col min="13318" max="13318" width="10.140625" bestFit="1" customWidth="1"/>
    <col min="13319" max="13319" width="35" bestFit="1" customWidth="1"/>
    <col min="13320" max="13320" width="6.85546875" bestFit="1" customWidth="1"/>
    <col min="13321" max="13321" width="11.5703125" bestFit="1" customWidth="1"/>
    <col min="13569" max="13570" width="46.140625" customWidth="1"/>
    <col min="13571" max="13571" width="21.5703125" bestFit="1" customWidth="1"/>
    <col min="13572" max="13573" width="14.42578125" bestFit="1" customWidth="1"/>
    <col min="13574" max="13574" width="10.140625" bestFit="1" customWidth="1"/>
    <col min="13575" max="13575" width="35" bestFit="1" customWidth="1"/>
    <col min="13576" max="13576" width="6.85546875" bestFit="1" customWidth="1"/>
    <col min="13577" max="13577" width="11.5703125" bestFit="1" customWidth="1"/>
    <col min="13825" max="13826" width="46.140625" customWidth="1"/>
    <col min="13827" max="13827" width="21.5703125" bestFit="1" customWidth="1"/>
    <col min="13828" max="13829" width="14.42578125" bestFit="1" customWidth="1"/>
    <col min="13830" max="13830" width="10.140625" bestFit="1" customWidth="1"/>
    <col min="13831" max="13831" width="35" bestFit="1" customWidth="1"/>
    <col min="13832" max="13832" width="6.85546875" bestFit="1" customWidth="1"/>
    <col min="13833" max="13833" width="11.5703125" bestFit="1" customWidth="1"/>
    <col min="14081" max="14082" width="46.140625" customWidth="1"/>
    <col min="14083" max="14083" width="21.5703125" bestFit="1" customWidth="1"/>
    <col min="14084" max="14085" width="14.42578125" bestFit="1" customWidth="1"/>
    <col min="14086" max="14086" width="10.140625" bestFit="1" customWidth="1"/>
    <col min="14087" max="14087" width="35" bestFit="1" customWidth="1"/>
    <col min="14088" max="14088" width="6.85546875" bestFit="1" customWidth="1"/>
    <col min="14089" max="14089" width="11.5703125" bestFit="1" customWidth="1"/>
    <col min="14337" max="14338" width="46.140625" customWidth="1"/>
    <col min="14339" max="14339" width="21.5703125" bestFit="1" customWidth="1"/>
    <col min="14340" max="14341" width="14.42578125" bestFit="1" customWidth="1"/>
    <col min="14342" max="14342" width="10.140625" bestFit="1" customWidth="1"/>
    <col min="14343" max="14343" width="35" bestFit="1" customWidth="1"/>
    <col min="14344" max="14344" width="6.85546875" bestFit="1" customWidth="1"/>
    <col min="14345" max="14345" width="11.5703125" bestFit="1" customWidth="1"/>
    <col min="14593" max="14594" width="46.140625" customWidth="1"/>
    <col min="14595" max="14595" width="21.5703125" bestFit="1" customWidth="1"/>
    <col min="14596" max="14597" width="14.42578125" bestFit="1" customWidth="1"/>
    <col min="14598" max="14598" width="10.140625" bestFit="1" customWidth="1"/>
    <col min="14599" max="14599" width="35" bestFit="1" customWidth="1"/>
    <col min="14600" max="14600" width="6.85546875" bestFit="1" customWidth="1"/>
    <col min="14601" max="14601" width="11.5703125" bestFit="1" customWidth="1"/>
    <col min="14849" max="14850" width="46.140625" customWidth="1"/>
    <col min="14851" max="14851" width="21.5703125" bestFit="1" customWidth="1"/>
    <col min="14852" max="14853" width="14.42578125" bestFit="1" customWidth="1"/>
    <col min="14854" max="14854" width="10.140625" bestFit="1" customWidth="1"/>
    <col min="14855" max="14855" width="35" bestFit="1" customWidth="1"/>
    <col min="14856" max="14856" width="6.85546875" bestFit="1" customWidth="1"/>
    <col min="14857" max="14857" width="11.5703125" bestFit="1" customWidth="1"/>
    <col min="15105" max="15106" width="46.140625" customWidth="1"/>
    <col min="15107" max="15107" width="21.5703125" bestFit="1" customWidth="1"/>
    <col min="15108" max="15109" width="14.42578125" bestFit="1" customWidth="1"/>
    <col min="15110" max="15110" width="10.140625" bestFit="1" customWidth="1"/>
    <col min="15111" max="15111" width="35" bestFit="1" customWidth="1"/>
    <col min="15112" max="15112" width="6.85546875" bestFit="1" customWidth="1"/>
    <col min="15113" max="15113" width="11.5703125" bestFit="1" customWidth="1"/>
    <col min="15361" max="15362" width="46.140625" customWidth="1"/>
    <col min="15363" max="15363" width="21.5703125" bestFit="1" customWidth="1"/>
    <col min="15364" max="15365" width="14.42578125" bestFit="1" customWidth="1"/>
    <col min="15366" max="15366" width="10.140625" bestFit="1" customWidth="1"/>
    <col min="15367" max="15367" width="35" bestFit="1" customWidth="1"/>
    <col min="15368" max="15368" width="6.85546875" bestFit="1" customWidth="1"/>
    <col min="15369" max="15369" width="11.5703125" bestFit="1" customWidth="1"/>
    <col min="15617" max="15618" width="46.140625" customWidth="1"/>
    <col min="15619" max="15619" width="21.5703125" bestFit="1" customWidth="1"/>
    <col min="15620" max="15621" width="14.42578125" bestFit="1" customWidth="1"/>
    <col min="15622" max="15622" width="10.140625" bestFit="1" customWidth="1"/>
    <col min="15623" max="15623" width="35" bestFit="1" customWidth="1"/>
    <col min="15624" max="15624" width="6.85546875" bestFit="1" customWidth="1"/>
    <col min="15625" max="15625" width="11.5703125" bestFit="1" customWidth="1"/>
    <col min="15873" max="15874" width="46.140625" customWidth="1"/>
    <col min="15875" max="15875" width="21.5703125" bestFit="1" customWidth="1"/>
    <col min="15876" max="15877" width="14.42578125" bestFit="1" customWidth="1"/>
    <col min="15878" max="15878" width="10.140625" bestFit="1" customWidth="1"/>
    <col min="15879" max="15879" width="35" bestFit="1" customWidth="1"/>
    <col min="15880" max="15880" width="6.85546875" bestFit="1" customWidth="1"/>
    <col min="15881" max="15881" width="11.5703125" bestFit="1" customWidth="1"/>
    <col min="16129" max="16130" width="46.140625" customWidth="1"/>
    <col min="16131" max="16131" width="21.5703125" bestFit="1" customWidth="1"/>
    <col min="16132" max="16133" width="14.42578125" bestFit="1" customWidth="1"/>
    <col min="16134" max="16134" width="10.140625" bestFit="1" customWidth="1"/>
    <col min="16135" max="16135" width="35" bestFit="1" customWidth="1"/>
    <col min="16136" max="16136" width="6.85546875" bestFit="1" customWidth="1"/>
    <col min="16137" max="16137" width="11.5703125" bestFit="1" customWidth="1"/>
  </cols>
  <sheetData>
    <row r="1" spans="1:9" s="9" customFormat="1" ht="12.95">
      <c r="A1" s="8" t="s">
        <v>292</v>
      </c>
      <c r="B1" s="8" t="s">
        <v>0</v>
      </c>
      <c r="C1" s="9" t="s">
        <v>2880</v>
      </c>
      <c r="D1" s="9" t="s">
        <v>293</v>
      </c>
      <c r="E1" s="9" t="s">
        <v>2881</v>
      </c>
      <c r="F1" s="9" t="s">
        <v>2882</v>
      </c>
      <c r="G1" s="9" t="s">
        <v>299</v>
      </c>
      <c r="H1" s="9" t="s">
        <v>103</v>
      </c>
      <c r="I1" s="9" t="s">
        <v>2883</v>
      </c>
    </row>
    <row r="2" spans="1:9">
      <c r="A2" s="5" t="s">
        <v>327</v>
      </c>
      <c r="B2" s="5" t="s">
        <v>2884</v>
      </c>
      <c r="C2" t="s">
        <v>2885</v>
      </c>
      <c r="D2" t="s">
        <v>327</v>
      </c>
      <c r="E2" t="s">
        <v>2886</v>
      </c>
      <c r="F2" t="s">
        <v>2887</v>
      </c>
      <c r="G2" t="s">
        <v>318</v>
      </c>
      <c r="H2" t="s">
        <v>122</v>
      </c>
      <c r="I2" t="s">
        <v>1534</v>
      </c>
    </row>
    <row r="3" spans="1:9">
      <c r="A3" s="5" t="s">
        <v>352</v>
      </c>
      <c r="B3" s="5" t="s">
        <v>2888</v>
      </c>
      <c r="C3" t="s">
        <v>2889</v>
      </c>
      <c r="D3" t="s">
        <v>2890</v>
      </c>
      <c r="E3" t="s">
        <v>2890</v>
      </c>
      <c r="F3" t="s">
        <v>2891</v>
      </c>
      <c r="G3" t="s">
        <v>357</v>
      </c>
      <c r="H3" t="s">
        <v>122</v>
      </c>
      <c r="I3" t="s">
        <v>2892</v>
      </c>
    </row>
    <row r="4" spans="1:9">
      <c r="A4" s="5" t="s">
        <v>2533</v>
      </c>
      <c r="B4" s="5" t="s">
        <v>2893</v>
      </c>
      <c r="C4" t="s">
        <v>2894</v>
      </c>
      <c r="D4" t="s">
        <v>2895</v>
      </c>
      <c r="E4" t="s">
        <v>2895</v>
      </c>
      <c r="F4" t="s">
        <v>2887</v>
      </c>
      <c r="G4" t="s">
        <v>318</v>
      </c>
      <c r="H4" t="s">
        <v>122</v>
      </c>
      <c r="I4" t="s">
        <v>2896</v>
      </c>
    </row>
    <row r="5" spans="1:9">
      <c r="A5" s="5" t="s">
        <v>845</v>
      </c>
      <c r="B5" s="5" t="s">
        <v>2897</v>
      </c>
      <c r="C5" t="s">
        <v>2898</v>
      </c>
      <c r="D5" t="s">
        <v>2899</v>
      </c>
      <c r="E5" t="s">
        <v>2899</v>
      </c>
      <c r="F5" t="s">
        <v>2891</v>
      </c>
      <c r="G5" t="s">
        <v>357</v>
      </c>
      <c r="H5" t="s">
        <v>122</v>
      </c>
      <c r="I5" t="s">
        <v>2576</v>
      </c>
    </row>
    <row r="6" spans="1:9">
      <c r="A6" s="5" t="s">
        <v>393</v>
      </c>
      <c r="B6" s="5" t="s">
        <v>2900</v>
      </c>
      <c r="C6" t="s">
        <v>2901</v>
      </c>
      <c r="D6" t="s">
        <v>2902</v>
      </c>
      <c r="E6" t="s">
        <v>2902</v>
      </c>
      <c r="F6" t="s">
        <v>2887</v>
      </c>
      <c r="G6" t="s">
        <v>318</v>
      </c>
      <c r="H6" t="s">
        <v>122</v>
      </c>
      <c r="I6" t="s">
        <v>2903</v>
      </c>
    </row>
    <row r="7" spans="1:9">
      <c r="A7" s="5" t="s">
        <v>533</v>
      </c>
      <c r="B7" s="5" t="s">
        <v>2904</v>
      </c>
      <c r="C7" t="s">
        <v>2905</v>
      </c>
      <c r="D7" t="s">
        <v>2906</v>
      </c>
      <c r="E7" t="s">
        <v>2907</v>
      </c>
      <c r="F7" t="s">
        <v>2891</v>
      </c>
      <c r="G7" t="s">
        <v>210</v>
      </c>
      <c r="H7" t="s">
        <v>122</v>
      </c>
      <c r="I7" t="s">
        <v>2908</v>
      </c>
    </row>
    <row r="8" spans="1:9">
      <c r="A8" s="5" t="s">
        <v>533</v>
      </c>
      <c r="B8" s="5" t="s">
        <v>2909</v>
      </c>
      <c r="C8" t="s">
        <v>2910</v>
      </c>
      <c r="D8" t="s">
        <v>2906</v>
      </c>
      <c r="E8" t="s">
        <v>2911</v>
      </c>
      <c r="F8" t="s">
        <v>2891</v>
      </c>
      <c r="G8" t="s">
        <v>308</v>
      </c>
      <c r="H8" t="s">
        <v>122</v>
      </c>
      <c r="I8" t="s">
        <v>2912</v>
      </c>
    </row>
    <row r="9" spans="1:9">
      <c r="A9" s="5" t="s">
        <v>533</v>
      </c>
      <c r="B9" s="5" t="s">
        <v>533</v>
      </c>
      <c r="C9" t="s">
        <v>2913</v>
      </c>
      <c r="D9" t="s">
        <v>2906</v>
      </c>
      <c r="E9" t="s">
        <v>2914</v>
      </c>
      <c r="F9" t="s">
        <v>2887</v>
      </c>
      <c r="G9" t="s">
        <v>210</v>
      </c>
      <c r="H9" t="s">
        <v>122</v>
      </c>
      <c r="I9" t="s">
        <v>2915</v>
      </c>
    </row>
    <row r="10" spans="1:9">
      <c r="A10" s="5" t="s">
        <v>533</v>
      </c>
      <c r="B10" s="5" t="s">
        <v>533</v>
      </c>
      <c r="C10" t="s">
        <v>2916</v>
      </c>
      <c r="D10" t="s">
        <v>2906</v>
      </c>
      <c r="E10" t="s">
        <v>2914</v>
      </c>
      <c r="F10" t="s">
        <v>2891</v>
      </c>
      <c r="G10" t="s">
        <v>210</v>
      </c>
      <c r="H10" t="s">
        <v>122</v>
      </c>
      <c r="I10" t="s">
        <v>2917</v>
      </c>
    </row>
    <row r="11" spans="1:9">
      <c r="A11" s="5" t="s">
        <v>404</v>
      </c>
      <c r="B11" s="5" t="s">
        <v>2918</v>
      </c>
      <c r="C11" t="s">
        <v>2919</v>
      </c>
      <c r="D11" t="s">
        <v>2920</v>
      </c>
      <c r="E11" t="s">
        <v>2920</v>
      </c>
      <c r="F11" t="s">
        <v>2887</v>
      </c>
      <c r="G11" t="s">
        <v>367</v>
      </c>
      <c r="H11" t="s">
        <v>122</v>
      </c>
      <c r="I11" t="s">
        <v>2921</v>
      </c>
    </row>
    <row r="12" spans="1:9" ht="29.1">
      <c r="A12" s="5" t="s">
        <v>2449</v>
      </c>
      <c r="B12" s="5" t="s">
        <v>2922</v>
      </c>
      <c r="C12" t="s">
        <v>2923</v>
      </c>
      <c r="D12" t="s">
        <v>2924</v>
      </c>
      <c r="E12" t="s">
        <v>2924</v>
      </c>
      <c r="F12" t="s">
        <v>2887</v>
      </c>
      <c r="G12" t="s">
        <v>318</v>
      </c>
      <c r="H12" t="s">
        <v>122</v>
      </c>
      <c r="I12" t="s">
        <v>1921</v>
      </c>
    </row>
    <row r="13" spans="1:9">
      <c r="A13" s="5" t="s">
        <v>409</v>
      </c>
      <c r="B13" s="5" t="s">
        <v>409</v>
      </c>
      <c r="C13" t="s">
        <v>2925</v>
      </c>
      <c r="D13" t="s">
        <v>2926</v>
      </c>
      <c r="E13" t="s">
        <v>2926</v>
      </c>
      <c r="F13" t="s">
        <v>2891</v>
      </c>
      <c r="G13" t="s">
        <v>328</v>
      </c>
      <c r="H13" t="s">
        <v>122</v>
      </c>
      <c r="I13" t="s">
        <v>2927</v>
      </c>
    </row>
    <row r="14" spans="1:9">
      <c r="A14" s="5" t="s">
        <v>433</v>
      </c>
      <c r="B14" s="5" t="s">
        <v>2928</v>
      </c>
      <c r="C14" t="s">
        <v>2929</v>
      </c>
      <c r="D14" t="s">
        <v>2930</v>
      </c>
      <c r="E14" t="s">
        <v>2930</v>
      </c>
      <c r="F14" t="s">
        <v>2891</v>
      </c>
      <c r="G14" t="s">
        <v>357</v>
      </c>
      <c r="H14" t="s">
        <v>122</v>
      </c>
      <c r="I14" t="s">
        <v>2931</v>
      </c>
    </row>
    <row r="15" spans="1:9">
      <c r="A15" s="5" t="s">
        <v>438</v>
      </c>
      <c r="B15" s="5" t="s">
        <v>2932</v>
      </c>
      <c r="C15" t="s">
        <v>2933</v>
      </c>
      <c r="D15" t="s">
        <v>2934</v>
      </c>
      <c r="E15" t="s">
        <v>2934</v>
      </c>
      <c r="F15" t="s">
        <v>2891</v>
      </c>
      <c r="G15" t="s">
        <v>424</v>
      </c>
      <c r="H15" t="s">
        <v>122</v>
      </c>
      <c r="I15" t="s">
        <v>2935</v>
      </c>
    </row>
    <row r="16" spans="1:9">
      <c r="A16" s="5" t="s">
        <v>382</v>
      </c>
      <c r="B16" s="5" t="s">
        <v>2936</v>
      </c>
      <c r="C16" t="s">
        <v>2937</v>
      </c>
      <c r="D16" t="s">
        <v>2938</v>
      </c>
      <c r="E16" t="s">
        <v>2938</v>
      </c>
      <c r="F16" t="s">
        <v>2891</v>
      </c>
      <c r="G16" t="s">
        <v>357</v>
      </c>
      <c r="H16" t="s">
        <v>122</v>
      </c>
      <c r="I16" t="s">
        <v>2939</v>
      </c>
    </row>
    <row r="17" spans="1:9">
      <c r="A17" s="5" t="s">
        <v>478</v>
      </c>
      <c r="B17" s="5" t="s">
        <v>2940</v>
      </c>
      <c r="C17" t="s">
        <v>2941</v>
      </c>
      <c r="D17" t="s">
        <v>2934</v>
      </c>
      <c r="E17" t="s">
        <v>2934</v>
      </c>
      <c r="F17" t="s">
        <v>2891</v>
      </c>
      <c r="G17" t="s">
        <v>424</v>
      </c>
      <c r="H17" t="s">
        <v>122</v>
      </c>
      <c r="I17" t="s">
        <v>2942</v>
      </c>
    </row>
    <row r="18" spans="1:9">
      <c r="A18" s="5" t="s">
        <v>482</v>
      </c>
      <c r="B18" s="5" t="s">
        <v>2943</v>
      </c>
      <c r="C18" t="s">
        <v>2944</v>
      </c>
      <c r="D18" t="s">
        <v>2945</v>
      </c>
      <c r="E18" t="s">
        <v>2945</v>
      </c>
      <c r="F18" t="s">
        <v>2891</v>
      </c>
      <c r="G18" t="s">
        <v>357</v>
      </c>
      <c r="H18" t="s">
        <v>122</v>
      </c>
      <c r="I18" t="s">
        <v>2946</v>
      </c>
    </row>
    <row r="19" spans="1:9">
      <c r="A19" s="5" t="s">
        <v>489</v>
      </c>
      <c r="B19" s="5" t="s">
        <v>2947</v>
      </c>
      <c r="C19" t="s">
        <v>2948</v>
      </c>
      <c r="D19" t="s">
        <v>2949</v>
      </c>
      <c r="E19" t="s">
        <v>2949</v>
      </c>
      <c r="F19" t="s">
        <v>2887</v>
      </c>
      <c r="G19" t="s">
        <v>318</v>
      </c>
      <c r="H19" t="s">
        <v>122</v>
      </c>
      <c r="I19" t="s">
        <v>2950</v>
      </c>
    </row>
    <row r="20" spans="1:9">
      <c r="A20" s="5" t="s">
        <v>518</v>
      </c>
      <c r="B20" s="5" t="s">
        <v>2951</v>
      </c>
      <c r="C20" t="s">
        <v>2952</v>
      </c>
      <c r="D20" t="s">
        <v>2953</v>
      </c>
      <c r="E20" t="s">
        <v>2953</v>
      </c>
      <c r="F20" t="s">
        <v>2887</v>
      </c>
      <c r="G20" t="s">
        <v>2954</v>
      </c>
      <c r="H20" t="s">
        <v>122</v>
      </c>
      <c r="I20" t="s">
        <v>1663</v>
      </c>
    </row>
    <row r="21" spans="1:9">
      <c r="A21" s="5" t="s">
        <v>529</v>
      </c>
      <c r="B21" s="5" t="s">
        <v>2955</v>
      </c>
      <c r="C21" t="s">
        <v>2956</v>
      </c>
      <c r="D21" t="s">
        <v>2957</v>
      </c>
      <c r="E21" t="s">
        <v>2957</v>
      </c>
      <c r="F21" t="s">
        <v>2891</v>
      </c>
      <c r="G21" t="s">
        <v>328</v>
      </c>
      <c r="H21" t="s">
        <v>122</v>
      </c>
      <c r="I21" t="s">
        <v>2958</v>
      </c>
    </row>
    <row r="22" spans="1:9">
      <c r="A22" s="5" t="s">
        <v>539</v>
      </c>
      <c r="B22" s="5" t="s">
        <v>2959</v>
      </c>
      <c r="C22" t="s">
        <v>2960</v>
      </c>
      <c r="D22" t="s">
        <v>2899</v>
      </c>
      <c r="E22" t="s">
        <v>2899</v>
      </c>
      <c r="F22" t="s">
        <v>2887</v>
      </c>
      <c r="G22" t="s">
        <v>376</v>
      </c>
      <c r="H22" t="s">
        <v>122</v>
      </c>
      <c r="I22" t="s">
        <v>2961</v>
      </c>
    </row>
    <row r="23" spans="1:9">
      <c r="A23" s="5" t="s">
        <v>565</v>
      </c>
      <c r="B23" s="5" t="s">
        <v>2962</v>
      </c>
      <c r="C23" t="s">
        <v>2963</v>
      </c>
      <c r="D23" t="s">
        <v>2964</v>
      </c>
      <c r="E23" t="s">
        <v>2964</v>
      </c>
      <c r="F23" t="s">
        <v>2887</v>
      </c>
      <c r="G23" t="s">
        <v>357</v>
      </c>
      <c r="H23" t="s">
        <v>122</v>
      </c>
      <c r="I23" t="s">
        <v>2965</v>
      </c>
    </row>
    <row r="24" spans="1:9">
      <c r="A24" s="5" t="s">
        <v>570</v>
      </c>
      <c r="B24" s="5" t="s">
        <v>2966</v>
      </c>
      <c r="C24" t="s">
        <v>2967</v>
      </c>
      <c r="D24" t="s">
        <v>2968</v>
      </c>
      <c r="E24" t="s">
        <v>2968</v>
      </c>
      <c r="F24" t="s">
        <v>2891</v>
      </c>
      <c r="G24" t="s">
        <v>328</v>
      </c>
      <c r="H24" t="s">
        <v>122</v>
      </c>
      <c r="I24" t="s">
        <v>2931</v>
      </c>
    </row>
    <row r="25" spans="1:9">
      <c r="A25" s="5" t="s">
        <v>1729</v>
      </c>
      <c r="B25" s="5" t="s">
        <v>2969</v>
      </c>
      <c r="C25" t="s">
        <v>2970</v>
      </c>
      <c r="D25" t="s">
        <v>2971</v>
      </c>
      <c r="E25" t="s">
        <v>2971</v>
      </c>
      <c r="F25" t="s">
        <v>2887</v>
      </c>
      <c r="G25" t="s">
        <v>376</v>
      </c>
      <c r="H25" t="s">
        <v>122</v>
      </c>
      <c r="I25" t="s">
        <v>2972</v>
      </c>
    </row>
    <row r="26" spans="1:9">
      <c r="A26" s="5" t="s">
        <v>589</v>
      </c>
      <c r="B26" s="5" t="s">
        <v>2947</v>
      </c>
      <c r="C26" t="s">
        <v>2948</v>
      </c>
      <c r="D26" t="s">
        <v>2973</v>
      </c>
      <c r="E26" t="s">
        <v>2973</v>
      </c>
      <c r="F26" t="s">
        <v>2887</v>
      </c>
      <c r="G26" t="s">
        <v>318</v>
      </c>
      <c r="H26" t="s">
        <v>122</v>
      </c>
      <c r="I26" t="s">
        <v>2950</v>
      </c>
    </row>
    <row r="27" spans="1:9">
      <c r="A27" s="5" t="s">
        <v>596</v>
      </c>
      <c r="B27" s="5" t="s">
        <v>2974</v>
      </c>
      <c r="C27" t="s">
        <v>2975</v>
      </c>
      <c r="D27" t="s">
        <v>2976</v>
      </c>
      <c r="E27" t="s">
        <v>2976</v>
      </c>
      <c r="F27" t="s">
        <v>2887</v>
      </c>
      <c r="G27" t="s">
        <v>318</v>
      </c>
      <c r="H27" t="s">
        <v>122</v>
      </c>
      <c r="I27" t="s">
        <v>2362</v>
      </c>
    </row>
    <row r="28" spans="1:9">
      <c r="A28" s="5" t="s">
        <v>601</v>
      </c>
      <c r="B28" s="5" t="s">
        <v>2977</v>
      </c>
      <c r="C28" t="s">
        <v>2978</v>
      </c>
      <c r="D28" t="s">
        <v>2979</v>
      </c>
      <c r="E28" t="s">
        <v>2979</v>
      </c>
      <c r="F28" t="s">
        <v>2887</v>
      </c>
      <c r="G28" t="s">
        <v>418</v>
      </c>
      <c r="H28" t="s">
        <v>122</v>
      </c>
      <c r="I28" t="s">
        <v>2921</v>
      </c>
    </row>
    <row r="29" spans="1:9">
      <c r="A29" s="5" t="s">
        <v>607</v>
      </c>
      <c r="B29" s="5" t="s">
        <v>607</v>
      </c>
      <c r="C29" t="s">
        <v>2980</v>
      </c>
      <c r="D29" t="s">
        <v>2981</v>
      </c>
      <c r="E29" t="s">
        <v>2981</v>
      </c>
      <c r="F29" t="s">
        <v>2891</v>
      </c>
      <c r="G29" t="s">
        <v>424</v>
      </c>
      <c r="H29" t="s">
        <v>122</v>
      </c>
      <c r="I29" t="s">
        <v>2931</v>
      </c>
    </row>
    <row r="30" spans="1:9">
      <c r="A30" s="5" t="s">
        <v>614</v>
      </c>
      <c r="B30" s="5" t="s">
        <v>2982</v>
      </c>
      <c r="C30" t="s">
        <v>2983</v>
      </c>
      <c r="D30" t="s">
        <v>2984</v>
      </c>
      <c r="E30" t="s">
        <v>2985</v>
      </c>
      <c r="F30" t="s">
        <v>2887</v>
      </c>
      <c r="G30" t="s">
        <v>318</v>
      </c>
      <c r="H30" t="s">
        <v>122</v>
      </c>
      <c r="I30" t="s">
        <v>2986</v>
      </c>
    </row>
    <row r="31" spans="1:9">
      <c r="A31" s="5" t="s">
        <v>624</v>
      </c>
      <c r="B31" s="5" t="s">
        <v>2987</v>
      </c>
      <c r="C31" t="s">
        <v>2988</v>
      </c>
      <c r="D31" t="s">
        <v>2989</v>
      </c>
      <c r="E31" t="s">
        <v>2989</v>
      </c>
      <c r="F31" t="s">
        <v>2891</v>
      </c>
      <c r="G31" t="s">
        <v>308</v>
      </c>
      <c r="H31" t="s">
        <v>122</v>
      </c>
      <c r="I31" t="s">
        <v>2990</v>
      </c>
    </row>
    <row r="32" spans="1:9">
      <c r="A32" s="5" t="s">
        <v>632</v>
      </c>
      <c r="B32" s="5" t="s">
        <v>632</v>
      </c>
      <c r="C32" t="s">
        <v>2991</v>
      </c>
      <c r="D32" t="s">
        <v>2992</v>
      </c>
      <c r="E32" t="s">
        <v>2992</v>
      </c>
      <c r="F32" t="s">
        <v>2891</v>
      </c>
      <c r="G32" t="s">
        <v>357</v>
      </c>
      <c r="H32" t="s">
        <v>122</v>
      </c>
      <c r="I32" t="s">
        <v>2931</v>
      </c>
    </row>
    <row r="33" spans="1:9">
      <c r="A33" s="5" t="s">
        <v>637</v>
      </c>
      <c r="B33" s="5" t="s">
        <v>2993</v>
      </c>
      <c r="C33" t="s">
        <v>2994</v>
      </c>
      <c r="D33" t="s">
        <v>2995</v>
      </c>
      <c r="E33" t="s">
        <v>2995</v>
      </c>
      <c r="F33" t="s">
        <v>2887</v>
      </c>
      <c r="G33" t="s">
        <v>418</v>
      </c>
      <c r="H33" t="s">
        <v>122</v>
      </c>
      <c r="I33" t="s">
        <v>2996</v>
      </c>
    </row>
    <row r="34" spans="1:9" ht="29.1">
      <c r="A34" s="5" t="s">
        <v>663</v>
      </c>
      <c r="B34" s="5" t="s">
        <v>2997</v>
      </c>
      <c r="C34" t="s">
        <v>2998</v>
      </c>
      <c r="D34" t="s">
        <v>2999</v>
      </c>
      <c r="E34" t="s">
        <v>2999</v>
      </c>
      <c r="F34" t="s">
        <v>2891</v>
      </c>
      <c r="G34" t="s">
        <v>328</v>
      </c>
      <c r="H34" t="s">
        <v>122</v>
      </c>
      <c r="I34" t="s">
        <v>2931</v>
      </c>
    </row>
    <row r="35" spans="1:9">
      <c r="A35" s="5" t="s">
        <v>666</v>
      </c>
      <c r="B35" s="5" t="s">
        <v>3000</v>
      </c>
      <c r="C35" t="s">
        <v>3001</v>
      </c>
      <c r="D35" t="s">
        <v>3002</v>
      </c>
      <c r="E35" t="s">
        <v>3002</v>
      </c>
      <c r="F35" t="s">
        <v>2887</v>
      </c>
      <c r="G35" t="s">
        <v>3003</v>
      </c>
      <c r="H35" t="s">
        <v>122</v>
      </c>
      <c r="I35" t="s">
        <v>3004</v>
      </c>
    </row>
    <row r="36" spans="1:9" ht="29.1">
      <c r="A36" s="5" t="s">
        <v>671</v>
      </c>
      <c r="B36" s="5" t="s">
        <v>3005</v>
      </c>
      <c r="C36" t="s">
        <v>3006</v>
      </c>
      <c r="D36" t="s">
        <v>3007</v>
      </c>
      <c r="E36" t="s">
        <v>3007</v>
      </c>
      <c r="F36" t="s">
        <v>2887</v>
      </c>
      <c r="G36" t="s">
        <v>318</v>
      </c>
      <c r="H36" t="s">
        <v>122</v>
      </c>
      <c r="I36" t="s">
        <v>2319</v>
      </c>
    </row>
    <row r="37" spans="1:9">
      <c r="A37" s="5" t="s">
        <v>586</v>
      </c>
      <c r="B37" s="5" t="s">
        <v>3008</v>
      </c>
      <c r="C37" t="s">
        <v>3009</v>
      </c>
      <c r="D37" t="s">
        <v>3010</v>
      </c>
      <c r="E37" t="s">
        <v>3010</v>
      </c>
      <c r="F37" t="s">
        <v>2887</v>
      </c>
      <c r="G37" t="s">
        <v>308</v>
      </c>
      <c r="H37" t="s">
        <v>122</v>
      </c>
      <c r="I37" t="s">
        <v>3011</v>
      </c>
    </row>
    <row r="38" spans="1:9">
      <c r="A38" s="5" t="s">
        <v>586</v>
      </c>
      <c r="B38" s="5" t="s">
        <v>3012</v>
      </c>
      <c r="C38" t="s">
        <v>3013</v>
      </c>
      <c r="D38" t="s">
        <v>3010</v>
      </c>
      <c r="E38" t="s">
        <v>2957</v>
      </c>
      <c r="F38" t="s">
        <v>2891</v>
      </c>
      <c r="G38" t="s">
        <v>328</v>
      </c>
      <c r="H38" t="s">
        <v>122</v>
      </c>
      <c r="I38" t="s">
        <v>3014</v>
      </c>
    </row>
    <row r="39" spans="1:9" ht="29.1">
      <c r="A39" s="5" t="s">
        <v>680</v>
      </c>
      <c r="B39" s="5" t="s">
        <v>3015</v>
      </c>
      <c r="C39" t="s">
        <v>3016</v>
      </c>
      <c r="D39" t="s">
        <v>3017</v>
      </c>
      <c r="E39" t="s">
        <v>3018</v>
      </c>
      <c r="F39" t="s">
        <v>2887</v>
      </c>
      <c r="G39" t="s">
        <v>376</v>
      </c>
      <c r="H39" t="s">
        <v>122</v>
      </c>
      <c r="I39" t="s">
        <v>3019</v>
      </c>
    </row>
    <row r="40" spans="1:9">
      <c r="A40" s="5" t="s">
        <v>685</v>
      </c>
      <c r="B40" s="5" t="s">
        <v>3020</v>
      </c>
      <c r="C40" t="s">
        <v>3021</v>
      </c>
      <c r="D40" t="s">
        <v>2957</v>
      </c>
      <c r="E40" t="s">
        <v>2957</v>
      </c>
      <c r="F40" t="s">
        <v>2891</v>
      </c>
      <c r="G40" t="s">
        <v>328</v>
      </c>
      <c r="H40" t="s">
        <v>122</v>
      </c>
      <c r="I40" t="s">
        <v>3022</v>
      </c>
    </row>
    <row r="41" spans="1:9">
      <c r="A41" s="5" t="s">
        <v>768</v>
      </c>
      <c r="B41" s="5" t="s">
        <v>3023</v>
      </c>
      <c r="C41" t="s">
        <v>3024</v>
      </c>
      <c r="D41" t="s">
        <v>3025</v>
      </c>
      <c r="E41" t="s">
        <v>3025</v>
      </c>
      <c r="F41" t="s">
        <v>2887</v>
      </c>
      <c r="G41" t="s">
        <v>507</v>
      </c>
      <c r="H41" t="s">
        <v>122</v>
      </c>
      <c r="I41" t="s">
        <v>3026</v>
      </c>
    </row>
    <row r="42" spans="1:9">
      <c r="A42" s="5" t="s">
        <v>804</v>
      </c>
      <c r="B42" s="5" t="s">
        <v>3027</v>
      </c>
      <c r="C42" t="s">
        <v>3028</v>
      </c>
      <c r="D42" t="s">
        <v>3029</v>
      </c>
      <c r="E42" t="s">
        <v>3029</v>
      </c>
      <c r="F42" t="s">
        <v>2891</v>
      </c>
      <c r="G42" t="s">
        <v>328</v>
      </c>
      <c r="H42" t="s">
        <v>122</v>
      </c>
      <c r="I42" t="s">
        <v>3030</v>
      </c>
    </row>
    <row r="43" spans="1:9">
      <c r="A43" s="5" t="s">
        <v>694</v>
      </c>
      <c r="B43" s="5" t="s">
        <v>3031</v>
      </c>
      <c r="C43" t="s">
        <v>327</v>
      </c>
      <c r="D43" t="s">
        <v>3032</v>
      </c>
      <c r="E43" t="s">
        <v>3032</v>
      </c>
      <c r="F43" t="s">
        <v>2887</v>
      </c>
      <c r="G43" t="s">
        <v>308</v>
      </c>
      <c r="H43" t="s">
        <v>122</v>
      </c>
      <c r="I43" t="s">
        <v>327</v>
      </c>
    </row>
    <row r="44" spans="1:9">
      <c r="A44" s="5" t="s">
        <v>699</v>
      </c>
      <c r="B44" s="5" t="s">
        <v>3033</v>
      </c>
      <c r="C44" t="s">
        <v>2956</v>
      </c>
      <c r="D44" t="s">
        <v>2957</v>
      </c>
      <c r="E44" t="s">
        <v>2957</v>
      </c>
      <c r="F44" t="s">
        <v>2891</v>
      </c>
      <c r="G44" t="s">
        <v>328</v>
      </c>
      <c r="H44" t="s">
        <v>122</v>
      </c>
      <c r="I44" t="s">
        <v>2958</v>
      </c>
    </row>
    <row r="45" spans="1:9">
      <c r="A45" s="5" t="s">
        <v>721</v>
      </c>
      <c r="B45" s="5" t="s">
        <v>3034</v>
      </c>
      <c r="C45" t="s">
        <v>3035</v>
      </c>
      <c r="D45" t="s">
        <v>3025</v>
      </c>
      <c r="E45" t="s">
        <v>3025</v>
      </c>
      <c r="F45" t="s">
        <v>2887</v>
      </c>
      <c r="G45" t="s">
        <v>308</v>
      </c>
      <c r="H45" t="s">
        <v>122</v>
      </c>
      <c r="I45" t="s">
        <v>3036</v>
      </c>
    </row>
    <row r="46" spans="1:9">
      <c r="A46" s="5" t="s">
        <v>730</v>
      </c>
      <c r="B46" s="5" t="s">
        <v>730</v>
      </c>
      <c r="C46" t="s">
        <v>3037</v>
      </c>
      <c r="D46" t="s">
        <v>3038</v>
      </c>
      <c r="E46" t="s">
        <v>3038</v>
      </c>
      <c r="F46" t="s">
        <v>2887</v>
      </c>
      <c r="G46" t="s">
        <v>318</v>
      </c>
      <c r="H46" t="s">
        <v>122</v>
      </c>
      <c r="I46" t="s">
        <v>3039</v>
      </c>
    </row>
    <row r="47" spans="1:9">
      <c r="A47" s="5" t="s">
        <v>753</v>
      </c>
      <c r="B47" s="5" t="s">
        <v>3040</v>
      </c>
      <c r="C47" t="s">
        <v>3041</v>
      </c>
      <c r="D47" t="s">
        <v>3042</v>
      </c>
      <c r="E47" t="s">
        <v>3042</v>
      </c>
      <c r="F47" t="s">
        <v>2887</v>
      </c>
      <c r="G47" t="s">
        <v>376</v>
      </c>
      <c r="H47" t="s">
        <v>122</v>
      </c>
      <c r="I47" t="s">
        <v>395</v>
      </c>
    </row>
    <row r="48" spans="1:9">
      <c r="A48" s="5" t="s">
        <v>758</v>
      </c>
      <c r="B48" s="5" t="s">
        <v>3043</v>
      </c>
      <c r="C48" t="s">
        <v>3044</v>
      </c>
      <c r="D48" t="s">
        <v>3045</v>
      </c>
      <c r="E48" t="s">
        <v>3045</v>
      </c>
      <c r="F48" t="s">
        <v>2887</v>
      </c>
      <c r="G48" t="s">
        <v>308</v>
      </c>
      <c r="H48" t="s">
        <v>122</v>
      </c>
      <c r="I48" t="s">
        <v>3046</v>
      </c>
    </row>
    <row r="49" spans="1:9" ht="29.1">
      <c r="A49" s="5" t="s">
        <v>763</v>
      </c>
      <c r="B49" s="5" t="s">
        <v>3047</v>
      </c>
      <c r="C49" t="s">
        <v>3048</v>
      </c>
      <c r="D49" t="s">
        <v>3049</v>
      </c>
      <c r="E49" t="s">
        <v>3049</v>
      </c>
      <c r="F49" t="s">
        <v>2887</v>
      </c>
      <c r="G49" t="s">
        <v>308</v>
      </c>
      <c r="H49" t="s">
        <v>122</v>
      </c>
      <c r="I49" t="s">
        <v>3050</v>
      </c>
    </row>
    <row r="50" spans="1:9" ht="29.1">
      <c r="A50" s="5" t="s">
        <v>770</v>
      </c>
      <c r="B50" s="5" t="s">
        <v>3051</v>
      </c>
      <c r="C50" t="s">
        <v>3052</v>
      </c>
      <c r="D50" t="s">
        <v>3053</v>
      </c>
      <c r="E50" t="s">
        <v>3053</v>
      </c>
      <c r="F50" t="s">
        <v>2891</v>
      </c>
      <c r="G50" t="s">
        <v>328</v>
      </c>
      <c r="H50" t="s">
        <v>122</v>
      </c>
      <c r="I50" t="s">
        <v>2931</v>
      </c>
    </row>
    <row r="51" spans="1:9">
      <c r="A51" s="5" t="s">
        <v>776</v>
      </c>
      <c r="B51" s="5" t="s">
        <v>3054</v>
      </c>
      <c r="C51" t="s">
        <v>3055</v>
      </c>
      <c r="D51" t="s">
        <v>2995</v>
      </c>
      <c r="E51" t="s">
        <v>2995</v>
      </c>
      <c r="F51" t="s">
        <v>2891</v>
      </c>
      <c r="G51" t="s">
        <v>424</v>
      </c>
      <c r="H51" t="s">
        <v>122</v>
      </c>
      <c r="I51" t="s">
        <v>2931</v>
      </c>
    </row>
    <row r="52" spans="1:9">
      <c r="A52" s="5" t="s">
        <v>788</v>
      </c>
      <c r="B52" s="5" t="s">
        <v>3056</v>
      </c>
      <c r="C52" t="s">
        <v>3057</v>
      </c>
      <c r="D52" t="s">
        <v>3058</v>
      </c>
      <c r="E52" t="s">
        <v>3058</v>
      </c>
      <c r="F52" t="s">
        <v>2891</v>
      </c>
      <c r="G52" t="s">
        <v>3059</v>
      </c>
      <c r="H52" t="s">
        <v>122</v>
      </c>
      <c r="I52" t="s">
        <v>3060</v>
      </c>
    </row>
    <row r="53" spans="1:9">
      <c r="A53" s="5" t="s">
        <v>792</v>
      </c>
      <c r="B53" s="5" t="s">
        <v>3061</v>
      </c>
      <c r="C53" t="s">
        <v>3062</v>
      </c>
      <c r="D53" t="s">
        <v>3063</v>
      </c>
      <c r="E53" t="s">
        <v>3063</v>
      </c>
      <c r="F53" t="s">
        <v>2887</v>
      </c>
      <c r="G53" t="s">
        <v>3064</v>
      </c>
      <c r="H53" t="s">
        <v>122</v>
      </c>
      <c r="I53" t="s">
        <v>3065</v>
      </c>
    </row>
    <row r="54" spans="1:9">
      <c r="A54" s="5" t="s">
        <v>801</v>
      </c>
      <c r="B54" s="5" t="s">
        <v>3066</v>
      </c>
      <c r="C54" t="s">
        <v>3067</v>
      </c>
      <c r="D54" t="s">
        <v>3068</v>
      </c>
      <c r="E54" t="s">
        <v>3068</v>
      </c>
      <c r="F54" t="s">
        <v>2887</v>
      </c>
      <c r="G54" t="s">
        <v>308</v>
      </c>
      <c r="H54" t="s">
        <v>122</v>
      </c>
      <c r="I54" t="s">
        <v>3069</v>
      </c>
    </row>
    <row r="55" spans="1:9">
      <c r="A55" s="5" t="s">
        <v>809</v>
      </c>
      <c r="B55" s="5" t="s">
        <v>3070</v>
      </c>
      <c r="C55" t="s">
        <v>3071</v>
      </c>
      <c r="D55" t="s">
        <v>2895</v>
      </c>
      <c r="E55" t="s">
        <v>2895</v>
      </c>
      <c r="F55" t="s">
        <v>2887</v>
      </c>
      <c r="G55" t="s">
        <v>318</v>
      </c>
      <c r="H55" t="s">
        <v>122</v>
      </c>
      <c r="I55" t="s">
        <v>3072</v>
      </c>
    </row>
    <row r="56" spans="1:9">
      <c r="A56" s="5" t="s">
        <v>814</v>
      </c>
      <c r="B56" s="5" t="s">
        <v>3070</v>
      </c>
      <c r="C56" t="s">
        <v>3071</v>
      </c>
      <c r="D56" t="s">
        <v>2895</v>
      </c>
      <c r="E56" t="s">
        <v>2895</v>
      </c>
      <c r="F56" t="s">
        <v>2887</v>
      </c>
      <c r="G56" t="s">
        <v>318</v>
      </c>
      <c r="H56" t="s">
        <v>122</v>
      </c>
      <c r="I56" t="s">
        <v>3072</v>
      </c>
    </row>
    <row r="57" spans="1:9">
      <c r="A57" s="5" t="s">
        <v>818</v>
      </c>
      <c r="B57" s="5" t="s">
        <v>818</v>
      </c>
      <c r="C57" t="s">
        <v>3071</v>
      </c>
      <c r="D57" t="s">
        <v>3073</v>
      </c>
      <c r="E57" t="s">
        <v>3073</v>
      </c>
      <c r="F57" t="s">
        <v>2887</v>
      </c>
      <c r="G57" t="s">
        <v>210</v>
      </c>
      <c r="H57" t="s">
        <v>122</v>
      </c>
      <c r="I57" t="s">
        <v>3072</v>
      </c>
    </row>
    <row r="58" spans="1:9">
      <c r="A58" s="5" t="s">
        <v>1195</v>
      </c>
      <c r="B58" s="5" t="s">
        <v>3074</v>
      </c>
      <c r="C58" t="s">
        <v>3075</v>
      </c>
      <c r="D58" t="s">
        <v>2906</v>
      </c>
      <c r="E58" t="s">
        <v>2906</v>
      </c>
      <c r="F58" t="s">
        <v>2887</v>
      </c>
      <c r="G58" t="s">
        <v>3076</v>
      </c>
      <c r="H58" t="s">
        <v>122</v>
      </c>
      <c r="I58" t="s">
        <v>3077</v>
      </c>
    </row>
    <row r="59" spans="1:9">
      <c r="A59" s="5" t="s">
        <v>1677</v>
      </c>
      <c r="B59" s="5" t="s">
        <v>3078</v>
      </c>
      <c r="C59" t="s">
        <v>3079</v>
      </c>
      <c r="D59" t="s">
        <v>3080</v>
      </c>
      <c r="E59" t="s">
        <v>3080</v>
      </c>
      <c r="F59" t="s">
        <v>2887</v>
      </c>
      <c r="G59" t="s">
        <v>3081</v>
      </c>
      <c r="H59" t="s">
        <v>122</v>
      </c>
      <c r="I59" t="s">
        <v>2921</v>
      </c>
    </row>
    <row r="60" spans="1:9">
      <c r="A60" s="5" t="s">
        <v>1677</v>
      </c>
      <c r="B60" s="5" t="s">
        <v>3082</v>
      </c>
      <c r="C60" t="s">
        <v>3083</v>
      </c>
      <c r="D60" t="s">
        <v>3080</v>
      </c>
      <c r="E60" t="s">
        <v>3084</v>
      </c>
      <c r="F60" t="s">
        <v>2891</v>
      </c>
      <c r="G60" t="s">
        <v>308</v>
      </c>
      <c r="H60" t="s">
        <v>122</v>
      </c>
      <c r="I60" t="s">
        <v>3085</v>
      </c>
    </row>
    <row r="61" spans="1:9">
      <c r="A61" s="5" t="s">
        <v>833</v>
      </c>
      <c r="B61" s="5" t="s">
        <v>3086</v>
      </c>
      <c r="C61" t="s">
        <v>3087</v>
      </c>
      <c r="D61" t="s">
        <v>3088</v>
      </c>
      <c r="E61" t="s">
        <v>3088</v>
      </c>
      <c r="F61" t="s">
        <v>2887</v>
      </c>
      <c r="G61" t="s">
        <v>318</v>
      </c>
      <c r="H61" t="s">
        <v>122</v>
      </c>
      <c r="I61" t="s">
        <v>3089</v>
      </c>
    </row>
    <row r="62" spans="1:9">
      <c r="A62" s="5" t="s">
        <v>2068</v>
      </c>
      <c r="B62" s="5" t="s">
        <v>3090</v>
      </c>
      <c r="C62" t="s">
        <v>3091</v>
      </c>
      <c r="D62" t="s">
        <v>3092</v>
      </c>
      <c r="E62" t="s">
        <v>3092</v>
      </c>
      <c r="F62" t="s">
        <v>2887</v>
      </c>
      <c r="G62" t="s">
        <v>210</v>
      </c>
      <c r="H62" t="s">
        <v>122</v>
      </c>
      <c r="I62" t="s">
        <v>3093</v>
      </c>
    </row>
    <row r="63" spans="1:9">
      <c r="A63" s="5" t="s">
        <v>838</v>
      </c>
      <c r="B63" s="5" t="s">
        <v>3094</v>
      </c>
      <c r="C63" t="s">
        <v>3095</v>
      </c>
      <c r="D63" t="s">
        <v>2914</v>
      </c>
      <c r="E63" t="s">
        <v>2914</v>
      </c>
      <c r="F63" t="s">
        <v>2891</v>
      </c>
      <c r="G63" t="s">
        <v>328</v>
      </c>
      <c r="H63" t="s">
        <v>122</v>
      </c>
      <c r="I63" t="s">
        <v>1456</v>
      </c>
    </row>
    <row r="64" spans="1:9" ht="29.1">
      <c r="A64" s="5" t="s">
        <v>1377</v>
      </c>
      <c r="B64" s="5" t="s">
        <v>3096</v>
      </c>
      <c r="C64" t="s">
        <v>3097</v>
      </c>
      <c r="D64" t="s">
        <v>3098</v>
      </c>
      <c r="E64" t="s">
        <v>3098</v>
      </c>
      <c r="F64" t="s">
        <v>2887</v>
      </c>
      <c r="G64" t="s">
        <v>318</v>
      </c>
      <c r="H64" t="s">
        <v>122</v>
      </c>
      <c r="I64" t="s">
        <v>3099</v>
      </c>
    </row>
    <row r="65" spans="1:9">
      <c r="A65" s="5" t="s">
        <v>840</v>
      </c>
      <c r="B65" s="5" t="s">
        <v>3100</v>
      </c>
      <c r="C65" t="s">
        <v>3101</v>
      </c>
      <c r="D65" t="s">
        <v>3102</v>
      </c>
      <c r="E65" t="s">
        <v>3102</v>
      </c>
      <c r="F65" t="s">
        <v>2887</v>
      </c>
      <c r="G65" t="s">
        <v>318</v>
      </c>
      <c r="H65" t="s">
        <v>122</v>
      </c>
      <c r="I65" t="s">
        <v>3103</v>
      </c>
    </row>
    <row r="66" spans="1:9">
      <c r="A66" s="5" t="s">
        <v>850</v>
      </c>
      <c r="B66" s="5" t="s">
        <v>850</v>
      </c>
      <c r="C66" t="s">
        <v>3104</v>
      </c>
      <c r="D66" t="s">
        <v>2957</v>
      </c>
      <c r="E66" t="s">
        <v>2957</v>
      </c>
      <c r="F66" t="s">
        <v>2891</v>
      </c>
      <c r="G66" t="s">
        <v>328</v>
      </c>
      <c r="H66" t="s">
        <v>122</v>
      </c>
      <c r="I66" t="s">
        <v>3105</v>
      </c>
    </row>
    <row r="67" spans="1:9">
      <c r="A67" s="5" t="s">
        <v>859</v>
      </c>
      <c r="B67" s="5" t="s">
        <v>3106</v>
      </c>
      <c r="C67" t="s">
        <v>3107</v>
      </c>
      <c r="D67" t="s">
        <v>3108</v>
      </c>
      <c r="E67" t="s">
        <v>3109</v>
      </c>
      <c r="F67" t="s">
        <v>2891</v>
      </c>
      <c r="G67" t="s">
        <v>328</v>
      </c>
      <c r="H67" t="s">
        <v>122</v>
      </c>
      <c r="I67" t="s">
        <v>2931</v>
      </c>
    </row>
    <row r="68" spans="1:9" ht="29.1">
      <c r="A68" s="5" t="s">
        <v>864</v>
      </c>
      <c r="B68" s="5" t="s">
        <v>864</v>
      </c>
      <c r="C68" t="s">
        <v>3110</v>
      </c>
      <c r="D68" t="s">
        <v>2979</v>
      </c>
      <c r="E68" t="s">
        <v>2979</v>
      </c>
      <c r="F68" t="s">
        <v>2891</v>
      </c>
      <c r="G68" t="s">
        <v>308</v>
      </c>
      <c r="H68" t="s">
        <v>122</v>
      </c>
      <c r="I68" t="s">
        <v>3111</v>
      </c>
    </row>
    <row r="69" spans="1:9">
      <c r="A69" s="5" t="s">
        <v>868</v>
      </c>
      <c r="B69" s="5" t="s">
        <v>3112</v>
      </c>
      <c r="C69" t="s">
        <v>3113</v>
      </c>
      <c r="D69" t="s">
        <v>3114</v>
      </c>
      <c r="E69" t="s">
        <v>3114</v>
      </c>
      <c r="F69" t="s">
        <v>2887</v>
      </c>
      <c r="G69" t="s">
        <v>318</v>
      </c>
      <c r="H69" t="s">
        <v>122</v>
      </c>
      <c r="I69" t="s">
        <v>3115</v>
      </c>
    </row>
    <row r="70" spans="1:9" ht="29.1">
      <c r="A70" s="5" t="s">
        <v>828</v>
      </c>
      <c r="B70" s="5" t="s">
        <v>3116</v>
      </c>
      <c r="C70" t="s">
        <v>3117</v>
      </c>
      <c r="D70" t="s">
        <v>3118</v>
      </c>
      <c r="E70" t="s">
        <v>3118</v>
      </c>
      <c r="F70" t="s">
        <v>2887</v>
      </c>
      <c r="G70" t="s">
        <v>318</v>
      </c>
      <c r="H70" t="s">
        <v>122</v>
      </c>
      <c r="I70" t="s">
        <v>1813</v>
      </c>
    </row>
    <row r="71" spans="1:9" ht="29.1">
      <c r="A71" s="5" t="s">
        <v>873</v>
      </c>
      <c r="B71" s="5" t="s">
        <v>3119</v>
      </c>
      <c r="C71" t="s">
        <v>3120</v>
      </c>
      <c r="D71" t="s">
        <v>3121</v>
      </c>
      <c r="E71" t="s">
        <v>3121</v>
      </c>
      <c r="F71" t="s">
        <v>2887</v>
      </c>
      <c r="G71" t="s">
        <v>376</v>
      </c>
      <c r="H71" t="s">
        <v>122</v>
      </c>
      <c r="I71" t="s">
        <v>3122</v>
      </c>
    </row>
    <row r="72" spans="1:9">
      <c r="A72" s="5" t="s">
        <v>884</v>
      </c>
      <c r="B72" s="5" t="s">
        <v>3123</v>
      </c>
      <c r="C72" t="s">
        <v>3124</v>
      </c>
      <c r="D72" t="s">
        <v>2930</v>
      </c>
      <c r="E72" t="s">
        <v>2930</v>
      </c>
      <c r="F72" t="s">
        <v>2887</v>
      </c>
      <c r="G72" t="s">
        <v>367</v>
      </c>
      <c r="H72" t="s">
        <v>122</v>
      </c>
      <c r="I72" t="s">
        <v>3125</v>
      </c>
    </row>
    <row r="73" spans="1:9">
      <c r="A73" s="5" t="s">
        <v>887</v>
      </c>
      <c r="B73" s="5" t="s">
        <v>3126</v>
      </c>
      <c r="C73" t="s">
        <v>3124</v>
      </c>
      <c r="D73" t="s">
        <v>3127</v>
      </c>
      <c r="E73" t="s">
        <v>3127</v>
      </c>
      <c r="F73" t="s">
        <v>2887</v>
      </c>
      <c r="G73" t="s">
        <v>308</v>
      </c>
      <c r="H73" t="s">
        <v>122</v>
      </c>
      <c r="I73" t="s">
        <v>3125</v>
      </c>
    </row>
    <row r="74" spans="1:9" ht="29.1">
      <c r="A74" s="5" t="s">
        <v>890</v>
      </c>
      <c r="B74" s="5" t="s">
        <v>3128</v>
      </c>
      <c r="C74" t="s">
        <v>3129</v>
      </c>
      <c r="D74" t="s">
        <v>2930</v>
      </c>
      <c r="E74" t="s">
        <v>2930</v>
      </c>
      <c r="F74" t="s">
        <v>2887</v>
      </c>
      <c r="G74" t="s">
        <v>210</v>
      </c>
      <c r="H74" t="s">
        <v>122</v>
      </c>
      <c r="I74" t="s">
        <v>3130</v>
      </c>
    </row>
    <row r="75" spans="1:9">
      <c r="A75" s="5" t="s">
        <v>950</v>
      </c>
      <c r="B75" s="5" t="s">
        <v>3131</v>
      </c>
      <c r="C75" t="s">
        <v>3132</v>
      </c>
      <c r="D75" t="s">
        <v>2979</v>
      </c>
      <c r="E75" t="s">
        <v>3133</v>
      </c>
      <c r="F75" t="s">
        <v>2891</v>
      </c>
      <c r="G75" t="s">
        <v>357</v>
      </c>
      <c r="H75" t="s">
        <v>122</v>
      </c>
      <c r="I75" t="s">
        <v>2931</v>
      </c>
    </row>
    <row r="76" spans="1:9">
      <c r="A76" s="5" t="s">
        <v>905</v>
      </c>
      <c r="B76" s="5" t="s">
        <v>3134</v>
      </c>
      <c r="C76" t="s">
        <v>3135</v>
      </c>
      <c r="D76" t="s">
        <v>3136</v>
      </c>
      <c r="E76" t="s">
        <v>3136</v>
      </c>
      <c r="F76" t="s">
        <v>2891</v>
      </c>
      <c r="G76" t="s">
        <v>357</v>
      </c>
      <c r="H76" t="s">
        <v>122</v>
      </c>
      <c r="I76" t="s">
        <v>2931</v>
      </c>
    </row>
    <row r="77" spans="1:9">
      <c r="A77" s="5" t="s">
        <v>321</v>
      </c>
      <c r="B77" s="5" t="s">
        <v>3137</v>
      </c>
      <c r="C77" t="s">
        <v>3138</v>
      </c>
      <c r="D77" t="s">
        <v>2999</v>
      </c>
      <c r="E77" t="s">
        <v>2999</v>
      </c>
      <c r="F77" t="s">
        <v>2891</v>
      </c>
      <c r="G77" t="s">
        <v>328</v>
      </c>
      <c r="H77" t="s">
        <v>122</v>
      </c>
      <c r="I77" t="s">
        <v>2931</v>
      </c>
    </row>
    <row r="78" spans="1:9" ht="29.1">
      <c r="A78" s="5" t="s">
        <v>1967</v>
      </c>
      <c r="B78" s="5" t="s">
        <v>3139</v>
      </c>
      <c r="C78" t="s">
        <v>3140</v>
      </c>
      <c r="D78" t="s">
        <v>3141</v>
      </c>
      <c r="E78" t="s">
        <v>3141</v>
      </c>
      <c r="F78" t="s">
        <v>2891</v>
      </c>
      <c r="G78" t="s">
        <v>3142</v>
      </c>
      <c r="H78" t="s">
        <v>122</v>
      </c>
      <c r="I78" t="s">
        <v>2931</v>
      </c>
    </row>
    <row r="79" spans="1:9">
      <c r="A79" s="5" t="s">
        <v>1705</v>
      </c>
      <c r="B79" s="5" t="s">
        <v>1705</v>
      </c>
      <c r="C79" t="s">
        <v>3143</v>
      </c>
      <c r="D79" t="s">
        <v>3144</v>
      </c>
      <c r="E79" t="s">
        <v>3144</v>
      </c>
      <c r="F79" t="s">
        <v>2891</v>
      </c>
      <c r="G79" t="s">
        <v>328</v>
      </c>
      <c r="H79" t="s">
        <v>122</v>
      </c>
      <c r="I79" t="s">
        <v>2931</v>
      </c>
    </row>
    <row r="80" spans="1:9">
      <c r="A80" s="5" t="s">
        <v>2787</v>
      </c>
      <c r="B80" s="5" t="s">
        <v>3145</v>
      </c>
      <c r="C80" t="s">
        <v>3146</v>
      </c>
      <c r="D80" t="s">
        <v>3147</v>
      </c>
      <c r="E80" t="s">
        <v>3147</v>
      </c>
      <c r="F80" t="s">
        <v>2891</v>
      </c>
      <c r="G80" t="s">
        <v>3142</v>
      </c>
      <c r="H80" t="s">
        <v>122</v>
      </c>
      <c r="I80" t="s">
        <v>2931</v>
      </c>
    </row>
    <row r="81" spans="1:9">
      <c r="A81" s="5" t="s">
        <v>2787</v>
      </c>
      <c r="B81" s="5" t="s">
        <v>2787</v>
      </c>
      <c r="C81" t="s">
        <v>3148</v>
      </c>
      <c r="D81" t="s">
        <v>3147</v>
      </c>
      <c r="E81" t="s">
        <v>3147</v>
      </c>
      <c r="F81" t="s">
        <v>2891</v>
      </c>
      <c r="G81" t="s">
        <v>328</v>
      </c>
      <c r="H81" t="s">
        <v>122</v>
      </c>
      <c r="I81" t="s">
        <v>2931</v>
      </c>
    </row>
    <row r="82" spans="1:9">
      <c r="A82" s="5" t="s">
        <v>2787</v>
      </c>
      <c r="B82" s="5" t="s">
        <v>3149</v>
      </c>
      <c r="C82" t="s">
        <v>3150</v>
      </c>
      <c r="D82" t="s">
        <v>3147</v>
      </c>
      <c r="E82" t="s">
        <v>3147</v>
      </c>
      <c r="F82" t="s">
        <v>2891</v>
      </c>
      <c r="G82" t="s">
        <v>3142</v>
      </c>
      <c r="H82" t="s">
        <v>122</v>
      </c>
      <c r="I82" t="s">
        <v>2931</v>
      </c>
    </row>
    <row r="83" spans="1:9">
      <c r="A83" s="5" t="s">
        <v>2787</v>
      </c>
      <c r="B83" s="5" t="s">
        <v>3151</v>
      </c>
      <c r="C83" t="s">
        <v>3152</v>
      </c>
      <c r="D83" t="s">
        <v>3147</v>
      </c>
      <c r="E83" t="s">
        <v>3147</v>
      </c>
      <c r="F83" t="s">
        <v>2891</v>
      </c>
      <c r="G83" t="s">
        <v>3153</v>
      </c>
      <c r="H83" t="s">
        <v>122</v>
      </c>
      <c r="I83" t="s">
        <v>2931</v>
      </c>
    </row>
    <row r="84" spans="1:9">
      <c r="A84" s="5" t="s">
        <v>1134</v>
      </c>
      <c r="B84" s="5" t="s">
        <v>3154</v>
      </c>
      <c r="C84" t="s">
        <v>3155</v>
      </c>
      <c r="D84" t="s">
        <v>3156</v>
      </c>
      <c r="E84" t="s">
        <v>2957</v>
      </c>
      <c r="F84" t="s">
        <v>2891</v>
      </c>
      <c r="G84" t="s">
        <v>328</v>
      </c>
      <c r="H84" t="s">
        <v>122</v>
      </c>
      <c r="I84" t="s">
        <v>2931</v>
      </c>
    </row>
    <row r="85" spans="1:9">
      <c r="A85" s="5" t="s">
        <v>2629</v>
      </c>
      <c r="B85" s="5" t="s">
        <v>3157</v>
      </c>
      <c r="C85" t="s">
        <v>3158</v>
      </c>
      <c r="D85" t="s">
        <v>2999</v>
      </c>
      <c r="E85" t="s">
        <v>2999</v>
      </c>
      <c r="F85" t="s">
        <v>2891</v>
      </c>
      <c r="G85" t="s">
        <v>328</v>
      </c>
      <c r="H85" t="s">
        <v>122</v>
      </c>
      <c r="I85" t="s">
        <v>2931</v>
      </c>
    </row>
    <row r="86" spans="1:9">
      <c r="A86" s="5" t="s">
        <v>2771</v>
      </c>
      <c r="B86" s="5" t="s">
        <v>3159</v>
      </c>
      <c r="C86" t="s">
        <v>3160</v>
      </c>
      <c r="D86" t="s">
        <v>3161</v>
      </c>
      <c r="E86" t="s">
        <v>3161</v>
      </c>
      <c r="F86" t="s">
        <v>2891</v>
      </c>
      <c r="G86" t="s">
        <v>328</v>
      </c>
      <c r="H86" t="s">
        <v>122</v>
      </c>
      <c r="I86" t="s">
        <v>2931</v>
      </c>
    </row>
    <row r="87" spans="1:9">
      <c r="A87" s="5" t="s">
        <v>2826</v>
      </c>
      <c r="B87" s="5" t="s">
        <v>2826</v>
      </c>
      <c r="C87" t="s">
        <v>3162</v>
      </c>
      <c r="D87" t="s">
        <v>3163</v>
      </c>
      <c r="E87" t="s">
        <v>2895</v>
      </c>
      <c r="F87" t="s">
        <v>2891</v>
      </c>
      <c r="G87" t="s">
        <v>328</v>
      </c>
      <c r="H87" t="s">
        <v>122</v>
      </c>
      <c r="I87" t="s">
        <v>2990</v>
      </c>
    </row>
    <row r="88" spans="1:9">
      <c r="A88" s="5" t="s">
        <v>1945</v>
      </c>
      <c r="B88" s="5" t="s">
        <v>3164</v>
      </c>
      <c r="C88" t="s">
        <v>3165</v>
      </c>
      <c r="D88" t="s">
        <v>3166</v>
      </c>
      <c r="E88" t="s">
        <v>3166</v>
      </c>
      <c r="F88" t="s">
        <v>2891</v>
      </c>
      <c r="G88" t="s">
        <v>328</v>
      </c>
      <c r="H88" t="s">
        <v>122</v>
      </c>
      <c r="I88" t="s">
        <v>2931</v>
      </c>
    </row>
    <row r="89" spans="1:9">
      <c r="A89" s="5" t="s">
        <v>1249</v>
      </c>
      <c r="B89" s="5" t="s">
        <v>3167</v>
      </c>
      <c r="C89" t="s">
        <v>3168</v>
      </c>
      <c r="D89" t="s">
        <v>3169</v>
      </c>
      <c r="E89" t="s">
        <v>2999</v>
      </c>
      <c r="F89" t="s">
        <v>2891</v>
      </c>
      <c r="G89" t="s">
        <v>328</v>
      </c>
      <c r="H89" t="s">
        <v>122</v>
      </c>
      <c r="I89" t="s">
        <v>2931</v>
      </c>
    </row>
    <row r="90" spans="1:9">
      <c r="A90" s="5" t="s">
        <v>1747</v>
      </c>
      <c r="B90" s="5" t="s">
        <v>3170</v>
      </c>
      <c r="C90" t="s">
        <v>3171</v>
      </c>
      <c r="D90" t="s">
        <v>3045</v>
      </c>
      <c r="E90" t="s">
        <v>3045</v>
      </c>
      <c r="F90" t="s">
        <v>2887</v>
      </c>
      <c r="G90" t="s">
        <v>210</v>
      </c>
      <c r="H90" t="s">
        <v>122</v>
      </c>
      <c r="I90" t="s">
        <v>2555</v>
      </c>
    </row>
    <row r="91" spans="1:9">
      <c r="A91" s="5" t="s">
        <v>1038</v>
      </c>
      <c r="B91" s="5" t="s">
        <v>1038</v>
      </c>
      <c r="C91" t="s">
        <v>3172</v>
      </c>
      <c r="D91" t="s">
        <v>3068</v>
      </c>
      <c r="E91" t="s">
        <v>3068</v>
      </c>
      <c r="F91" t="s">
        <v>2887</v>
      </c>
      <c r="G91" t="s">
        <v>418</v>
      </c>
      <c r="H91" t="s">
        <v>122</v>
      </c>
      <c r="I91" t="s">
        <v>3173</v>
      </c>
    </row>
    <row r="92" spans="1:9">
      <c r="A92" s="5" t="s">
        <v>1345</v>
      </c>
      <c r="B92" s="5" t="s">
        <v>3174</v>
      </c>
      <c r="C92" t="s">
        <v>3175</v>
      </c>
      <c r="D92" t="s">
        <v>2979</v>
      </c>
      <c r="E92" t="s">
        <v>2979</v>
      </c>
      <c r="F92" t="s">
        <v>2887</v>
      </c>
      <c r="G92" t="s">
        <v>357</v>
      </c>
      <c r="H92" t="s">
        <v>122</v>
      </c>
      <c r="I92" t="s">
        <v>3176</v>
      </c>
    </row>
    <row r="93" spans="1:9">
      <c r="A93" s="5" t="s">
        <v>892</v>
      </c>
      <c r="B93" s="5" t="s">
        <v>3177</v>
      </c>
      <c r="C93" t="s">
        <v>3178</v>
      </c>
      <c r="D93" t="s">
        <v>2968</v>
      </c>
      <c r="E93" t="s">
        <v>2968</v>
      </c>
      <c r="F93" t="s">
        <v>2891</v>
      </c>
      <c r="G93" t="s">
        <v>507</v>
      </c>
      <c r="H93" t="s">
        <v>122</v>
      </c>
      <c r="I93" t="s">
        <v>3179</v>
      </c>
    </row>
    <row r="94" spans="1:9">
      <c r="A94" s="5" t="s">
        <v>2525</v>
      </c>
      <c r="B94" s="5" t="s">
        <v>3180</v>
      </c>
      <c r="C94" t="s">
        <v>3181</v>
      </c>
      <c r="D94" t="s">
        <v>3182</v>
      </c>
      <c r="E94" t="s">
        <v>3182</v>
      </c>
      <c r="F94" t="s">
        <v>2887</v>
      </c>
      <c r="G94" t="s">
        <v>308</v>
      </c>
      <c r="H94" t="s">
        <v>122</v>
      </c>
      <c r="I94" t="s">
        <v>3183</v>
      </c>
    </row>
    <row r="95" spans="1:9">
      <c r="A95" s="5" t="s">
        <v>2554</v>
      </c>
      <c r="B95" s="5" t="s">
        <v>3184</v>
      </c>
      <c r="C95" t="s">
        <v>3185</v>
      </c>
      <c r="D95" t="s">
        <v>2957</v>
      </c>
      <c r="E95" t="s">
        <v>2957</v>
      </c>
      <c r="F95" t="s">
        <v>2891</v>
      </c>
      <c r="G95" t="s">
        <v>328</v>
      </c>
      <c r="H95" t="s">
        <v>122</v>
      </c>
      <c r="I95" t="s">
        <v>3186</v>
      </c>
    </row>
    <row r="96" spans="1:9" ht="29.1">
      <c r="A96" s="5" t="s">
        <v>1961</v>
      </c>
      <c r="B96" s="5" t="s">
        <v>3187</v>
      </c>
      <c r="C96" t="s">
        <v>3188</v>
      </c>
      <c r="D96" t="s">
        <v>3127</v>
      </c>
      <c r="E96" t="s">
        <v>3127</v>
      </c>
      <c r="F96" t="s">
        <v>2891</v>
      </c>
      <c r="G96" t="s">
        <v>357</v>
      </c>
      <c r="H96" t="s">
        <v>122</v>
      </c>
      <c r="I96" t="s">
        <v>3189</v>
      </c>
    </row>
    <row r="97" spans="1:9">
      <c r="A97" s="5" t="s">
        <v>500</v>
      </c>
      <c r="B97" s="5" t="s">
        <v>424</v>
      </c>
      <c r="C97" t="s">
        <v>3190</v>
      </c>
      <c r="D97" t="s">
        <v>3191</v>
      </c>
      <c r="E97" t="s">
        <v>3191</v>
      </c>
      <c r="F97" t="s">
        <v>2887</v>
      </c>
      <c r="G97" t="s">
        <v>424</v>
      </c>
      <c r="H97" t="s">
        <v>122</v>
      </c>
      <c r="I97" t="s">
        <v>3192</v>
      </c>
    </row>
    <row r="98" spans="1:9">
      <c r="A98" s="5" t="s">
        <v>1575</v>
      </c>
      <c r="B98" s="5" t="s">
        <v>3193</v>
      </c>
      <c r="C98" t="s">
        <v>3194</v>
      </c>
      <c r="D98" t="s">
        <v>3010</v>
      </c>
      <c r="E98" t="s">
        <v>3010</v>
      </c>
      <c r="F98" t="s">
        <v>2887</v>
      </c>
      <c r="G98" t="s">
        <v>308</v>
      </c>
      <c r="H98" t="s">
        <v>122</v>
      </c>
      <c r="I98" t="s">
        <v>1656</v>
      </c>
    </row>
    <row r="99" spans="1:9">
      <c r="A99" s="5" t="s">
        <v>854</v>
      </c>
      <c r="B99" s="5" t="s">
        <v>3195</v>
      </c>
      <c r="C99" t="s">
        <v>3196</v>
      </c>
      <c r="D99" t="s">
        <v>3197</v>
      </c>
      <c r="E99" t="s">
        <v>3197</v>
      </c>
      <c r="F99" t="s">
        <v>2887</v>
      </c>
      <c r="G99" t="s">
        <v>318</v>
      </c>
      <c r="H99" t="s">
        <v>122</v>
      </c>
      <c r="I99" t="s">
        <v>3198</v>
      </c>
    </row>
    <row r="100" spans="1:9">
      <c r="A100" s="5" t="s">
        <v>954</v>
      </c>
      <c r="B100" s="5" t="s">
        <v>954</v>
      </c>
      <c r="C100" t="s">
        <v>3199</v>
      </c>
      <c r="D100" t="s">
        <v>3200</v>
      </c>
      <c r="E100" t="s">
        <v>3200</v>
      </c>
      <c r="F100" t="s">
        <v>2891</v>
      </c>
      <c r="G100" t="s">
        <v>424</v>
      </c>
      <c r="H100" t="s">
        <v>122</v>
      </c>
      <c r="I100" t="s">
        <v>3201</v>
      </c>
    </row>
    <row r="101" spans="1:9">
      <c r="A101" s="5" t="s">
        <v>1159</v>
      </c>
      <c r="B101" s="5" t="s">
        <v>3202</v>
      </c>
      <c r="C101" t="s">
        <v>3203</v>
      </c>
      <c r="D101" t="s">
        <v>3204</v>
      </c>
      <c r="E101" t="s">
        <v>3205</v>
      </c>
      <c r="F101" t="s">
        <v>2887</v>
      </c>
      <c r="G101" t="s">
        <v>318</v>
      </c>
      <c r="H101" t="s">
        <v>122</v>
      </c>
      <c r="I101" t="s">
        <v>3206</v>
      </c>
    </row>
    <row r="102" spans="1:9">
      <c r="A102" s="5" t="s">
        <v>1198</v>
      </c>
      <c r="B102" s="5" t="s">
        <v>3207</v>
      </c>
      <c r="C102" t="s">
        <v>3208</v>
      </c>
      <c r="D102" t="s">
        <v>3209</v>
      </c>
      <c r="E102" t="s">
        <v>3209</v>
      </c>
      <c r="F102" t="s">
        <v>2887</v>
      </c>
      <c r="G102" t="s">
        <v>424</v>
      </c>
      <c r="H102" t="s">
        <v>122</v>
      </c>
      <c r="I102" t="s">
        <v>3210</v>
      </c>
    </row>
    <row r="103" spans="1:9">
      <c r="A103" s="5" t="s">
        <v>1432</v>
      </c>
      <c r="B103" s="5" t="s">
        <v>3211</v>
      </c>
      <c r="C103" t="s">
        <v>3212</v>
      </c>
      <c r="D103" t="s">
        <v>3213</v>
      </c>
      <c r="E103" t="s">
        <v>3213</v>
      </c>
      <c r="F103" t="s">
        <v>2887</v>
      </c>
      <c r="G103" t="s">
        <v>424</v>
      </c>
      <c r="H103" t="s">
        <v>122</v>
      </c>
      <c r="I103" t="s">
        <v>3214</v>
      </c>
    </row>
    <row r="104" spans="1:9">
      <c r="A104" s="5" t="s">
        <v>468</v>
      </c>
      <c r="B104" s="5" t="s">
        <v>3215</v>
      </c>
      <c r="C104" t="s">
        <v>3216</v>
      </c>
      <c r="D104" t="s">
        <v>2957</v>
      </c>
      <c r="E104" t="s">
        <v>2957</v>
      </c>
      <c r="F104" t="s">
        <v>2891</v>
      </c>
      <c r="G104" t="s">
        <v>328</v>
      </c>
      <c r="H104" t="s">
        <v>122</v>
      </c>
      <c r="I104" t="s">
        <v>3217</v>
      </c>
    </row>
    <row r="105" spans="1:9">
      <c r="A105" s="5" t="s">
        <v>1542</v>
      </c>
      <c r="B105" s="5" t="s">
        <v>3218</v>
      </c>
      <c r="C105" t="s">
        <v>3219</v>
      </c>
      <c r="D105" t="s">
        <v>3220</v>
      </c>
      <c r="E105" t="s">
        <v>3220</v>
      </c>
      <c r="F105" t="s">
        <v>2891</v>
      </c>
      <c r="G105" t="s">
        <v>357</v>
      </c>
      <c r="H105" t="s">
        <v>122</v>
      </c>
      <c r="I105" t="s">
        <v>3221</v>
      </c>
    </row>
    <row r="106" spans="1:9">
      <c r="A106" s="5" t="s">
        <v>2715</v>
      </c>
      <c r="B106" s="5" t="s">
        <v>2715</v>
      </c>
      <c r="C106" t="s">
        <v>3222</v>
      </c>
      <c r="D106" t="s">
        <v>3223</v>
      </c>
      <c r="E106" t="s">
        <v>3223</v>
      </c>
      <c r="F106" t="s">
        <v>2891</v>
      </c>
      <c r="G106" t="s">
        <v>328</v>
      </c>
      <c r="H106" t="s">
        <v>122</v>
      </c>
      <c r="I106" t="s">
        <v>3224</v>
      </c>
    </row>
    <row r="107" spans="1:9">
      <c r="A107" s="5" t="s">
        <v>1536</v>
      </c>
      <c r="B107" s="5" t="s">
        <v>3225</v>
      </c>
      <c r="C107" t="s">
        <v>3226</v>
      </c>
      <c r="D107" t="s">
        <v>3227</v>
      </c>
      <c r="E107" t="s">
        <v>3227</v>
      </c>
      <c r="F107" t="s">
        <v>2887</v>
      </c>
      <c r="G107" t="s">
        <v>424</v>
      </c>
      <c r="H107" t="s">
        <v>122</v>
      </c>
      <c r="I107" t="s">
        <v>3228</v>
      </c>
    </row>
    <row r="108" spans="1:9">
      <c r="A108" s="5" t="s">
        <v>2634</v>
      </c>
      <c r="B108" s="5" t="s">
        <v>2634</v>
      </c>
      <c r="C108" t="s">
        <v>3229</v>
      </c>
      <c r="D108" t="s">
        <v>3223</v>
      </c>
      <c r="E108" t="s">
        <v>3223</v>
      </c>
      <c r="F108" t="s">
        <v>2891</v>
      </c>
      <c r="G108" t="s">
        <v>328</v>
      </c>
      <c r="H108" t="s">
        <v>122</v>
      </c>
      <c r="I108" t="s">
        <v>3214</v>
      </c>
    </row>
    <row r="109" spans="1:9" ht="29.1">
      <c r="A109" s="5" t="s">
        <v>1821</v>
      </c>
      <c r="B109" s="5" t="s">
        <v>3230</v>
      </c>
      <c r="C109" t="s">
        <v>3231</v>
      </c>
      <c r="D109" t="s">
        <v>3232</v>
      </c>
      <c r="E109" t="s">
        <v>3232</v>
      </c>
      <c r="F109" t="s">
        <v>2891</v>
      </c>
      <c r="G109" t="s">
        <v>357</v>
      </c>
      <c r="H109" t="s">
        <v>122</v>
      </c>
      <c r="I109" t="s">
        <v>1213</v>
      </c>
    </row>
    <row r="110" spans="1:9">
      <c r="A110" s="5" t="s">
        <v>1330</v>
      </c>
      <c r="B110" s="5" t="s">
        <v>3233</v>
      </c>
      <c r="C110" t="s">
        <v>3234</v>
      </c>
      <c r="D110" t="s">
        <v>3235</v>
      </c>
      <c r="E110" t="s">
        <v>3235</v>
      </c>
      <c r="F110" t="s">
        <v>2891</v>
      </c>
      <c r="G110" t="s">
        <v>357</v>
      </c>
      <c r="H110" t="s">
        <v>122</v>
      </c>
      <c r="I110" t="s">
        <v>1172</v>
      </c>
    </row>
    <row r="111" spans="1:9">
      <c r="A111" s="5" t="s">
        <v>976</v>
      </c>
      <c r="B111" s="5" t="s">
        <v>976</v>
      </c>
      <c r="C111" t="s">
        <v>3236</v>
      </c>
      <c r="D111" t="s">
        <v>2957</v>
      </c>
      <c r="E111" t="s">
        <v>2957</v>
      </c>
      <c r="F111" t="s">
        <v>2891</v>
      </c>
      <c r="G111" t="s">
        <v>328</v>
      </c>
      <c r="H111" t="s">
        <v>122</v>
      </c>
      <c r="I111" t="s">
        <v>3237</v>
      </c>
    </row>
    <row r="112" spans="1:9">
      <c r="A112" s="5" t="s">
        <v>619</v>
      </c>
      <c r="B112" s="5" t="s">
        <v>3238</v>
      </c>
      <c r="C112" t="s">
        <v>3239</v>
      </c>
      <c r="D112" t="s">
        <v>3240</v>
      </c>
      <c r="E112" t="s">
        <v>3240</v>
      </c>
      <c r="F112" t="s">
        <v>2891</v>
      </c>
      <c r="G112" t="s">
        <v>424</v>
      </c>
      <c r="H112" t="s">
        <v>122</v>
      </c>
      <c r="I112" t="s">
        <v>622</v>
      </c>
    </row>
    <row r="113" spans="1:9">
      <c r="A113" s="5" t="s">
        <v>2442</v>
      </c>
      <c r="B113" s="5" t="s">
        <v>2442</v>
      </c>
      <c r="C113" t="s">
        <v>3241</v>
      </c>
      <c r="D113" t="s">
        <v>3227</v>
      </c>
      <c r="E113" t="s">
        <v>3227</v>
      </c>
      <c r="F113" t="s">
        <v>2887</v>
      </c>
      <c r="G113" t="s">
        <v>424</v>
      </c>
      <c r="H113" t="s">
        <v>122</v>
      </c>
      <c r="I113" t="s">
        <v>2075</v>
      </c>
    </row>
    <row r="114" spans="1:9">
      <c r="A114" s="5" t="s">
        <v>2697</v>
      </c>
      <c r="B114" s="5" t="s">
        <v>3242</v>
      </c>
      <c r="C114" t="s">
        <v>3243</v>
      </c>
      <c r="D114" t="s">
        <v>3244</v>
      </c>
      <c r="E114" t="s">
        <v>3244</v>
      </c>
      <c r="F114" t="s">
        <v>2887</v>
      </c>
      <c r="G114" t="s">
        <v>3245</v>
      </c>
      <c r="H114" t="s">
        <v>122</v>
      </c>
      <c r="I114" t="s">
        <v>3246</v>
      </c>
    </row>
    <row r="115" spans="1:9">
      <c r="A115" s="5" t="s">
        <v>895</v>
      </c>
      <c r="B115" s="5" t="s">
        <v>3247</v>
      </c>
      <c r="C115" t="s">
        <v>3248</v>
      </c>
      <c r="D115" t="s">
        <v>3249</v>
      </c>
      <c r="E115" t="s">
        <v>3249</v>
      </c>
      <c r="F115" t="s">
        <v>2891</v>
      </c>
      <c r="G115" t="s">
        <v>328</v>
      </c>
      <c r="H115" t="s">
        <v>122</v>
      </c>
      <c r="I115" t="s">
        <v>3250</v>
      </c>
    </row>
    <row r="116" spans="1:9">
      <c r="A116" s="5" t="s">
        <v>2803</v>
      </c>
      <c r="B116" s="5" t="s">
        <v>3251</v>
      </c>
      <c r="C116" t="s">
        <v>3252</v>
      </c>
      <c r="D116" t="s">
        <v>2957</v>
      </c>
      <c r="E116" t="s">
        <v>2957</v>
      </c>
      <c r="F116" t="s">
        <v>2891</v>
      </c>
      <c r="G116" t="s">
        <v>328</v>
      </c>
      <c r="H116" t="s">
        <v>122</v>
      </c>
      <c r="I116" t="s">
        <v>2674</v>
      </c>
    </row>
    <row r="117" spans="1:9">
      <c r="A117" s="5" t="s">
        <v>924</v>
      </c>
      <c r="B117" s="5" t="s">
        <v>3253</v>
      </c>
      <c r="C117" t="s">
        <v>3254</v>
      </c>
      <c r="D117" t="s">
        <v>3255</v>
      </c>
      <c r="E117" t="s">
        <v>3255</v>
      </c>
      <c r="F117" t="s">
        <v>2891</v>
      </c>
      <c r="G117" t="s">
        <v>357</v>
      </c>
      <c r="H117" t="s">
        <v>122</v>
      </c>
      <c r="I117" t="s">
        <v>3256</v>
      </c>
    </row>
    <row r="118" spans="1:9">
      <c r="A118" s="5" t="s">
        <v>933</v>
      </c>
      <c r="B118" s="5" t="s">
        <v>3257</v>
      </c>
      <c r="C118" t="s">
        <v>3258</v>
      </c>
      <c r="D118" t="s">
        <v>3259</v>
      </c>
      <c r="E118" t="s">
        <v>3259</v>
      </c>
      <c r="F118" t="s">
        <v>2887</v>
      </c>
      <c r="G118" t="s">
        <v>357</v>
      </c>
      <c r="H118" t="s">
        <v>122</v>
      </c>
      <c r="I118" t="s">
        <v>3260</v>
      </c>
    </row>
    <row r="119" spans="1:9">
      <c r="A119" s="5" t="s">
        <v>946</v>
      </c>
      <c r="B119" s="5" t="s">
        <v>946</v>
      </c>
      <c r="C119" t="s">
        <v>3261</v>
      </c>
      <c r="D119" t="s">
        <v>3223</v>
      </c>
      <c r="E119" t="s">
        <v>3223</v>
      </c>
      <c r="F119" t="s">
        <v>2891</v>
      </c>
      <c r="G119" t="s">
        <v>328</v>
      </c>
      <c r="H119" t="s">
        <v>122</v>
      </c>
      <c r="I119" t="s">
        <v>2845</v>
      </c>
    </row>
    <row r="120" spans="1:9" ht="29.1">
      <c r="A120" s="5" t="s">
        <v>962</v>
      </c>
      <c r="B120" s="5" t="s">
        <v>3262</v>
      </c>
      <c r="C120" t="s">
        <v>3263</v>
      </c>
      <c r="D120" t="s">
        <v>3264</v>
      </c>
      <c r="E120" t="s">
        <v>3264</v>
      </c>
      <c r="F120" t="s">
        <v>2891</v>
      </c>
      <c r="G120" t="s">
        <v>357</v>
      </c>
      <c r="H120" t="s">
        <v>122</v>
      </c>
      <c r="I120" t="s">
        <v>1728</v>
      </c>
    </row>
    <row r="121" spans="1:9">
      <c r="A121" s="5" t="s">
        <v>965</v>
      </c>
      <c r="B121" s="5" t="s">
        <v>3265</v>
      </c>
      <c r="C121" t="s">
        <v>3266</v>
      </c>
      <c r="D121" t="s">
        <v>3068</v>
      </c>
      <c r="E121" t="s">
        <v>2999</v>
      </c>
      <c r="F121" t="s">
        <v>2891</v>
      </c>
      <c r="G121" t="s">
        <v>328</v>
      </c>
      <c r="H121" t="s">
        <v>122</v>
      </c>
      <c r="I121" t="s">
        <v>2931</v>
      </c>
    </row>
    <row r="122" spans="1:9" ht="29.1">
      <c r="A122" s="5" t="s">
        <v>968</v>
      </c>
      <c r="B122" s="5" t="s">
        <v>3267</v>
      </c>
      <c r="C122" t="s">
        <v>3268</v>
      </c>
      <c r="D122" t="s">
        <v>3223</v>
      </c>
      <c r="E122" t="s">
        <v>3269</v>
      </c>
      <c r="F122" t="s">
        <v>2891</v>
      </c>
      <c r="G122" t="s">
        <v>328</v>
      </c>
      <c r="H122" t="s">
        <v>122</v>
      </c>
      <c r="I122" t="s">
        <v>1728</v>
      </c>
    </row>
    <row r="123" spans="1:9">
      <c r="A123" s="5" t="s">
        <v>982</v>
      </c>
      <c r="B123" s="5" t="s">
        <v>3270</v>
      </c>
      <c r="C123" t="s">
        <v>3271</v>
      </c>
      <c r="D123" t="s">
        <v>3166</v>
      </c>
      <c r="E123" t="s">
        <v>3166</v>
      </c>
      <c r="F123" t="s">
        <v>2891</v>
      </c>
      <c r="G123" t="s">
        <v>328</v>
      </c>
      <c r="H123" t="s">
        <v>122</v>
      </c>
      <c r="I123" t="s">
        <v>2931</v>
      </c>
    </row>
    <row r="124" spans="1:9">
      <c r="A124" s="5" t="s">
        <v>993</v>
      </c>
      <c r="B124" s="5" t="s">
        <v>993</v>
      </c>
      <c r="C124" t="s">
        <v>3272</v>
      </c>
      <c r="D124" t="s">
        <v>3273</v>
      </c>
      <c r="E124" t="s">
        <v>3273</v>
      </c>
      <c r="F124" t="s">
        <v>2891</v>
      </c>
      <c r="G124" t="s">
        <v>318</v>
      </c>
      <c r="H124" t="s">
        <v>122</v>
      </c>
      <c r="I124" t="s">
        <v>3274</v>
      </c>
    </row>
    <row r="125" spans="1:9">
      <c r="A125" s="5" t="s">
        <v>1003</v>
      </c>
      <c r="B125" s="5" t="s">
        <v>1003</v>
      </c>
      <c r="C125" t="s">
        <v>3275</v>
      </c>
      <c r="D125" t="s">
        <v>3276</v>
      </c>
      <c r="E125" t="s">
        <v>3276</v>
      </c>
      <c r="F125" t="s">
        <v>2887</v>
      </c>
      <c r="G125" t="s">
        <v>318</v>
      </c>
      <c r="H125" t="s">
        <v>122</v>
      </c>
      <c r="I125" t="s">
        <v>3277</v>
      </c>
    </row>
    <row r="126" spans="1:9">
      <c r="A126" s="5" t="s">
        <v>2451</v>
      </c>
      <c r="B126" s="5" t="s">
        <v>3278</v>
      </c>
      <c r="C126" t="s">
        <v>3279</v>
      </c>
      <c r="D126" t="s">
        <v>3280</v>
      </c>
      <c r="E126" t="s">
        <v>3280</v>
      </c>
      <c r="F126" t="s">
        <v>2887</v>
      </c>
      <c r="G126" t="s">
        <v>318</v>
      </c>
      <c r="H126" t="s">
        <v>122</v>
      </c>
      <c r="I126" t="s">
        <v>3281</v>
      </c>
    </row>
    <row r="127" spans="1:9">
      <c r="A127" s="5" t="s">
        <v>1013</v>
      </c>
      <c r="B127" s="5" t="s">
        <v>3282</v>
      </c>
      <c r="C127" t="s">
        <v>126</v>
      </c>
      <c r="D127" t="s">
        <v>270</v>
      </c>
      <c r="E127" t="s">
        <v>270</v>
      </c>
      <c r="F127" t="s">
        <v>2887</v>
      </c>
      <c r="G127" t="s">
        <v>210</v>
      </c>
      <c r="H127" t="s">
        <v>122</v>
      </c>
      <c r="I127" t="s">
        <v>3283</v>
      </c>
    </row>
    <row r="128" spans="1:9">
      <c r="A128" s="5" t="s">
        <v>1020</v>
      </c>
      <c r="B128" s="5" t="s">
        <v>3284</v>
      </c>
      <c r="C128" t="s">
        <v>3285</v>
      </c>
      <c r="D128" t="s">
        <v>3053</v>
      </c>
      <c r="E128" t="s">
        <v>3053</v>
      </c>
      <c r="F128" t="s">
        <v>2891</v>
      </c>
      <c r="G128" t="s">
        <v>308</v>
      </c>
      <c r="H128" t="s">
        <v>122</v>
      </c>
      <c r="I128" t="s">
        <v>2931</v>
      </c>
    </row>
    <row r="129" spans="1:9">
      <c r="A129" s="5" t="s">
        <v>1022</v>
      </c>
      <c r="B129" s="5" t="s">
        <v>3286</v>
      </c>
      <c r="C129" t="s">
        <v>327</v>
      </c>
      <c r="D129" t="s">
        <v>2899</v>
      </c>
      <c r="E129" t="s">
        <v>2899</v>
      </c>
      <c r="F129" t="s">
        <v>2887</v>
      </c>
      <c r="G129" t="s">
        <v>367</v>
      </c>
      <c r="H129" t="s">
        <v>122</v>
      </c>
      <c r="I129" t="s">
        <v>327</v>
      </c>
    </row>
    <row r="130" spans="1:9">
      <c r="A130" s="5" t="s">
        <v>1028</v>
      </c>
      <c r="B130" s="5" t="s">
        <v>3287</v>
      </c>
      <c r="C130" t="s">
        <v>3288</v>
      </c>
      <c r="D130" t="s">
        <v>3289</v>
      </c>
      <c r="E130" t="s">
        <v>3289</v>
      </c>
      <c r="F130" t="s">
        <v>2887</v>
      </c>
      <c r="G130" t="s">
        <v>3290</v>
      </c>
      <c r="H130" t="s">
        <v>122</v>
      </c>
      <c r="I130" t="s">
        <v>1372</v>
      </c>
    </row>
    <row r="131" spans="1:9">
      <c r="A131" s="5" t="s">
        <v>1033</v>
      </c>
      <c r="B131" s="5" t="s">
        <v>3291</v>
      </c>
      <c r="C131" t="s">
        <v>3292</v>
      </c>
      <c r="D131" t="s">
        <v>3293</v>
      </c>
      <c r="E131" t="s">
        <v>3293</v>
      </c>
      <c r="F131" t="s">
        <v>2887</v>
      </c>
      <c r="G131" t="s">
        <v>376</v>
      </c>
      <c r="H131" t="s">
        <v>122</v>
      </c>
      <c r="I131" t="s">
        <v>2555</v>
      </c>
    </row>
    <row r="132" spans="1:9">
      <c r="A132" s="5" t="s">
        <v>1042</v>
      </c>
      <c r="B132" s="5" t="s">
        <v>3294</v>
      </c>
      <c r="C132" t="s">
        <v>3295</v>
      </c>
      <c r="D132" t="s">
        <v>3296</v>
      </c>
      <c r="E132" t="s">
        <v>3296</v>
      </c>
      <c r="F132" t="s">
        <v>2887</v>
      </c>
      <c r="G132" t="s">
        <v>418</v>
      </c>
      <c r="H132" t="s">
        <v>122</v>
      </c>
      <c r="I132" t="s">
        <v>3297</v>
      </c>
    </row>
    <row r="133" spans="1:9">
      <c r="A133" s="5" t="s">
        <v>2606</v>
      </c>
      <c r="B133" s="5" t="s">
        <v>3298</v>
      </c>
      <c r="C133" t="s">
        <v>3299</v>
      </c>
      <c r="D133" t="s">
        <v>3300</v>
      </c>
      <c r="E133" t="s">
        <v>3300</v>
      </c>
      <c r="F133" t="s">
        <v>2887</v>
      </c>
      <c r="G133" t="s">
        <v>308</v>
      </c>
      <c r="H133" t="s">
        <v>122</v>
      </c>
      <c r="I133" t="s">
        <v>3301</v>
      </c>
    </row>
    <row r="134" spans="1:9">
      <c r="A134" s="5" t="s">
        <v>1054</v>
      </c>
      <c r="B134" s="5" t="s">
        <v>1054</v>
      </c>
      <c r="C134" t="s">
        <v>3302</v>
      </c>
      <c r="D134" t="s">
        <v>3084</v>
      </c>
      <c r="E134" t="s">
        <v>3084</v>
      </c>
      <c r="F134" t="s">
        <v>2887</v>
      </c>
      <c r="G134" t="s">
        <v>367</v>
      </c>
      <c r="H134" t="s">
        <v>122</v>
      </c>
      <c r="I134" t="s">
        <v>3303</v>
      </c>
    </row>
    <row r="135" spans="1:9">
      <c r="A135" s="5" t="s">
        <v>1059</v>
      </c>
      <c r="B135" s="5" t="s">
        <v>3304</v>
      </c>
      <c r="C135" t="s">
        <v>3305</v>
      </c>
      <c r="D135" t="s">
        <v>2926</v>
      </c>
      <c r="E135" t="s">
        <v>2926</v>
      </c>
      <c r="F135" t="s">
        <v>2891</v>
      </c>
      <c r="G135" t="s">
        <v>328</v>
      </c>
      <c r="H135" t="s">
        <v>122</v>
      </c>
      <c r="I135" t="s">
        <v>3306</v>
      </c>
    </row>
    <row r="136" spans="1:9">
      <c r="A136" s="5" t="s">
        <v>1061</v>
      </c>
      <c r="B136" s="5" t="s">
        <v>3307</v>
      </c>
      <c r="C136" t="s">
        <v>3308</v>
      </c>
      <c r="D136" t="s">
        <v>3309</v>
      </c>
      <c r="E136" t="s">
        <v>3309</v>
      </c>
      <c r="F136" t="s">
        <v>2887</v>
      </c>
      <c r="G136" t="s">
        <v>318</v>
      </c>
      <c r="H136" t="s">
        <v>122</v>
      </c>
      <c r="I136" t="s">
        <v>3310</v>
      </c>
    </row>
    <row r="137" spans="1:9" ht="29.1">
      <c r="A137" s="5" t="s">
        <v>1066</v>
      </c>
      <c r="B137" s="5" t="s">
        <v>3311</v>
      </c>
      <c r="C137" t="s">
        <v>3312</v>
      </c>
      <c r="D137" t="s">
        <v>3313</v>
      </c>
      <c r="E137" t="s">
        <v>3313</v>
      </c>
      <c r="F137" t="s">
        <v>2887</v>
      </c>
      <c r="G137" t="s">
        <v>376</v>
      </c>
      <c r="H137" t="s">
        <v>122</v>
      </c>
      <c r="I137" t="s">
        <v>2935</v>
      </c>
    </row>
    <row r="138" spans="1:9">
      <c r="A138" s="5" t="s">
        <v>1069</v>
      </c>
      <c r="B138" s="5" t="s">
        <v>3314</v>
      </c>
      <c r="C138" t="s">
        <v>3315</v>
      </c>
      <c r="D138" t="s">
        <v>2953</v>
      </c>
      <c r="E138" t="s">
        <v>2953</v>
      </c>
      <c r="F138" t="s">
        <v>2887</v>
      </c>
      <c r="G138" t="s">
        <v>210</v>
      </c>
      <c r="H138" t="s">
        <v>122</v>
      </c>
      <c r="I138" t="s">
        <v>3316</v>
      </c>
    </row>
    <row r="139" spans="1:9">
      <c r="A139" s="5" t="s">
        <v>1082</v>
      </c>
      <c r="B139" s="5" t="s">
        <v>3317</v>
      </c>
      <c r="C139" t="s">
        <v>3318</v>
      </c>
      <c r="D139" t="s">
        <v>3319</v>
      </c>
      <c r="E139" t="s">
        <v>3319</v>
      </c>
      <c r="F139" t="s">
        <v>2887</v>
      </c>
      <c r="G139" t="s">
        <v>357</v>
      </c>
      <c r="H139" t="s">
        <v>122</v>
      </c>
      <c r="I139" t="s">
        <v>417</v>
      </c>
    </row>
    <row r="140" spans="1:9">
      <c r="A140" s="5" t="s">
        <v>1087</v>
      </c>
      <c r="B140" s="5" t="s">
        <v>3320</v>
      </c>
      <c r="C140" t="s">
        <v>3321</v>
      </c>
      <c r="D140" t="s">
        <v>3025</v>
      </c>
      <c r="E140" t="s">
        <v>3025</v>
      </c>
      <c r="F140" t="s">
        <v>2887</v>
      </c>
      <c r="G140" t="s">
        <v>376</v>
      </c>
      <c r="H140" t="s">
        <v>122</v>
      </c>
      <c r="I140" t="s">
        <v>3277</v>
      </c>
    </row>
    <row r="141" spans="1:9">
      <c r="A141" s="5" t="s">
        <v>1089</v>
      </c>
      <c r="B141" s="5" t="s">
        <v>3322</v>
      </c>
      <c r="C141" t="s">
        <v>3323</v>
      </c>
      <c r="D141" t="s">
        <v>3324</v>
      </c>
      <c r="E141" t="s">
        <v>3280</v>
      </c>
      <c r="F141" t="s">
        <v>2887</v>
      </c>
      <c r="G141" t="s">
        <v>507</v>
      </c>
      <c r="H141" t="s">
        <v>122</v>
      </c>
      <c r="I141" t="s">
        <v>3325</v>
      </c>
    </row>
    <row r="142" spans="1:9">
      <c r="A142" s="5" t="s">
        <v>1094</v>
      </c>
      <c r="B142" s="5" t="s">
        <v>3326</v>
      </c>
      <c r="C142" t="s">
        <v>3327</v>
      </c>
      <c r="D142" t="s">
        <v>3328</v>
      </c>
      <c r="E142" t="s">
        <v>3328</v>
      </c>
      <c r="F142" t="s">
        <v>2887</v>
      </c>
      <c r="G142" t="s">
        <v>318</v>
      </c>
      <c r="H142" t="s">
        <v>122</v>
      </c>
      <c r="I142" t="s">
        <v>3329</v>
      </c>
    </row>
    <row r="143" spans="1:9">
      <c r="A143" s="5" t="s">
        <v>388</v>
      </c>
      <c r="B143" s="5" t="s">
        <v>3330</v>
      </c>
      <c r="C143" t="s">
        <v>2901</v>
      </c>
      <c r="D143" t="s">
        <v>2902</v>
      </c>
      <c r="E143" t="s">
        <v>2902</v>
      </c>
      <c r="F143" t="s">
        <v>2887</v>
      </c>
      <c r="G143" t="s">
        <v>318</v>
      </c>
      <c r="H143" t="s">
        <v>122</v>
      </c>
      <c r="I143" t="s">
        <v>2903</v>
      </c>
    </row>
    <row r="144" spans="1:9">
      <c r="A144" s="5" t="s">
        <v>1101</v>
      </c>
      <c r="B144" s="5" t="s">
        <v>3331</v>
      </c>
      <c r="C144" t="s">
        <v>147</v>
      </c>
      <c r="D144" t="s">
        <v>3332</v>
      </c>
      <c r="E144" t="s">
        <v>3333</v>
      </c>
      <c r="F144" t="s">
        <v>2887</v>
      </c>
      <c r="G144" t="s">
        <v>3334</v>
      </c>
      <c r="H144" t="s">
        <v>122</v>
      </c>
      <c r="I144" t="s">
        <v>3335</v>
      </c>
    </row>
    <row r="145" spans="1:9">
      <c r="A145" s="5" t="s">
        <v>1101</v>
      </c>
      <c r="B145" s="5" t="s">
        <v>3336</v>
      </c>
      <c r="C145" t="s">
        <v>3337</v>
      </c>
      <c r="D145" t="s">
        <v>3332</v>
      </c>
      <c r="E145" t="s">
        <v>3338</v>
      </c>
      <c r="F145" t="s">
        <v>2891</v>
      </c>
      <c r="G145" t="s">
        <v>210</v>
      </c>
      <c r="H145" t="s">
        <v>122</v>
      </c>
      <c r="I145" t="s">
        <v>787</v>
      </c>
    </row>
    <row r="146" spans="1:9">
      <c r="A146" s="5" t="s">
        <v>1107</v>
      </c>
      <c r="B146" s="5" t="s">
        <v>3339</v>
      </c>
      <c r="C146" t="s">
        <v>3340</v>
      </c>
      <c r="D146" t="s">
        <v>3341</v>
      </c>
      <c r="E146" t="s">
        <v>3341</v>
      </c>
      <c r="F146" t="s">
        <v>2887</v>
      </c>
      <c r="G146" t="s">
        <v>308</v>
      </c>
      <c r="H146" t="s">
        <v>122</v>
      </c>
      <c r="I146" t="s">
        <v>866</v>
      </c>
    </row>
    <row r="147" spans="1:9">
      <c r="A147" s="5" t="s">
        <v>1116</v>
      </c>
      <c r="B147" s="5" t="s">
        <v>3342</v>
      </c>
      <c r="C147" t="s">
        <v>3343</v>
      </c>
      <c r="D147" t="s">
        <v>3344</v>
      </c>
      <c r="E147" t="s">
        <v>3344</v>
      </c>
      <c r="F147" t="s">
        <v>2887</v>
      </c>
      <c r="G147" t="s">
        <v>318</v>
      </c>
      <c r="H147" t="s">
        <v>122</v>
      </c>
      <c r="I147" t="s">
        <v>395</v>
      </c>
    </row>
    <row r="148" spans="1:9">
      <c r="A148" s="5" t="s">
        <v>1121</v>
      </c>
      <c r="B148" s="5" t="s">
        <v>3345</v>
      </c>
      <c r="C148" t="s">
        <v>3346</v>
      </c>
      <c r="D148" t="s">
        <v>2899</v>
      </c>
      <c r="E148" t="s">
        <v>2899</v>
      </c>
      <c r="F148" t="s">
        <v>2887</v>
      </c>
      <c r="G148" t="s">
        <v>318</v>
      </c>
      <c r="H148" t="s">
        <v>122</v>
      </c>
      <c r="I148" t="s">
        <v>3347</v>
      </c>
    </row>
    <row r="149" spans="1:9" ht="29.1">
      <c r="A149" s="5" t="s">
        <v>1125</v>
      </c>
      <c r="B149" s="5" t="s">
        <v>3348</v>
      </c>
      <c r="C149" t="s">
        <v>3349</v>
      </c>
      <c r="D149" t="s">
        <v>2999</v>
      </c>
      <c r="E149" t="s">
        <v>2999</v>
      </c>
      <c r="F149" t="s">
        <v>2891</v>
      </c>
      <c r="G149" t="s">
        <v>328</v>
      </c>
      <c r="H149" t="s">
        <v>122</v>
      </c>
      <c r="I149" t="s">
        <v>2931</v>
      </c>
    </row>
    <row r="150" spans="1:9">
      <c r="A150" s="5" t="s">
        <v>1128</v>
      </c>
      <c r="B150" s="5" t="s">
        <v>3350</v>
      </c>
      <c r="C150" t="s">
        <v>3351</v>
      </c>
      <c r="D150" t="s">
        <v>3352</v>
      </c>
      <c r="E150" t="s">
        <v>3352</v>
      </c>
      <c r="F150" t="s">
        <v>2887</v>
      </c>
      <c r="G150" t="s">
        <v>367</v>
      </c>
      <c r="H150" t="s">
        <v>486</v>
      </c>
      <c r="I150" t="s">
        <v>2990</v>
      </c>
    </row>
    <row r="151" spans="1:9">
      <c r="A151" s="5" t="s">
        <v>1132</v>
      </c>
      <c r="B151" s="5" t="s">
        <v>1132</v>
      </c>
      <c r="C151" t="s">
        <v>3353</v>
      </c>
      <c r="D151" t="s">
        <v>2957</v>
      </c>
      <c r="E151" t="s">
        <v>2957</v>
      </c>
      <c r="F151" t="s">
        <v>2887</v>
      </c>
      <c r="G151" t="s">
        <v>318</v>
      </c>
      <c r="H151" t="s">
        <v>122</v>
      </c>
      <c r="I151" t="s">
        <v>3189</v>
      </c>
    </row>
    <row r="152" spans="1:9">
      <c r="A152" s="5" t="s">
        <v>1139</v>
      </c>
      <c r="B152" s="5" t="s">
        <v>3354</v>
      </c>
      <c r="C152" t="s">
        <v>3355</v>
      </c>
      <c r="D152" t="s">
        <v>2934</v>
      </c>
      <c r="E152" t="s">
        <v>2934</v>
      </c>
      <c r="F152" t="s">
        <v>2891</v>
      </c>
      <c r="G152" t="s">
        <v>357</v>
      </c>
      <c r="H152" t="s">
        <v>122</v>
      </c>
      <c r="I152" t="s">
        <v>3356</v>
      </c>
    </row>
    <row r="153" spans="1:9">
      <c r="A153" s="5" t="s">
        <v>1142</v>
      </c>
      <c r="B153" s="5" t="s">
        <v>3357</v>
      </c>
      <c r="C153" t="s">
        <v>3358</v>
      </c>
      <c r="D153" t="s">
        <v>3359</v>
      </c>
      <c r="E153" t="s">
        <v>3359</v>
      </c>
      <c r="F153" t="s">
        <v>2891</v>
      </c>
      <c r="G153" t="s">
        <v>308</v>
      </c>
      <c r="H153" t="s">
        <v>122</v>
      </c>
      <c r="I153" t="s">
        <v>3360</v>
      </c>
    </row>
    <row r="154" spans="1:9">
      <c r="A154" s="5" t="s">
        <v>1147</v>
      </c>
      <c r="B154" s="5" t="s">
        <v>1147</v>
      </c>
      <c r="C154" t="s">
        <v>3110</v>
      </c>
      <c r="D154" t="s">
        <v>3361</v>
      </c>
      <c r="E154" t="s">
        <v>3361</v>
      </c>
      <c r="F154" t="s">
        <v>2887</v>
      </c>
      <c r="G154" t="s">
        <v>318</v>
      </c>
      <c r="H154" t="s">
        <v>122</v>
      </c>
      <c r="I154" t="s">
        <v>3111</v>
      </c>
    </row>
    <row r="155" spans="1:9">
      <c r="A155" s="5" t="s">
        <v>1150</v>
      </c>
      <c r="B155" s="5" t="s">
        <v>3362</v>
      </c>
      <c r="C155" t="s">
        <v>3363</v>
      </c>
      <c r="D155" t="s">
        <v>3364</v>
      </c>
      <c r="E155" t="s">
        <v>3364</v>
      </c>
      <c r="F155" t="s">
        <v>2891</v>
      </c>
      <c r="G155" t="s">
        <v>308</v>
      </c>
      <c r="H155" t="s">
        <v>122</v>
      </c>
      <c r="I155" t="s">
        <v>3365</v>
      </c>
    </row>
    <row r="156" spans="1:9">
      <c r="A156" s="5" t="s">
        <v>1155</v>
      </c>
      <c r="B156" s="5" t="s">
        <v>1155</v>
      </c>
      <c r="C156" t="s">
        <v>3366</v>
      </c>
      <c r="D156" t="s">
        <v>3367</v>
      </c>
      <c r="E156" t="s">
        <v>3367</v>
      </c>
      <c r="F156" t="s">
        <v>2891</v>
      </c>
      <c r="G156" t="s">
        <v>418</v>
      </c>
      <c r="H156" t="s">
        <v>122</v>
      </c>
      <c r="I156" t="s">
        <v>1540</v>
      </c>
    </row>
    <row r="157" spans="1:9">
      <c r="A157" s="5" t="s">
        <v>1169</v>
      </c>
      <c r="B157" s="5" t="s">
        <v>3368</v>
      </c>
      <c r="C157" t="s">
        <v>3369</v>
      </c>
      <c r="D157" t="s">
        <v>3370</v>
      </c>
      <c r="E157" t="s">
        <v>3370</v>
      </c>
      <c r="F157" t="s">
        <v>2887</v>
      </c>
      <c r="G157" t="s">
        <v>3371</v>
      </c>
      <c r="H157" t="s">
        <v>122</v>
      </c>
      <c r="I157" t="s">
        <v>3372</v>
      </c>
    </row>
    <row r="158" spans="1:9">
      <c r="A158" s="5" t="s">
        <v>1178</v>
      </c>
      <c r="B158" s="5" t="s">
        <v>3373</v>
      </c>
      <c r="C158" t="s">
        <v>3374</v>
      </c>
      <c r="D158" t="s">
        <v>3375</v>
      </c>
      <c r="E158" t="s">
        <v>3375</v>
      </c>
      <c r="F158" t="s">
        <v>2887</v>
      </c>
      <c r="G158" t="s">
        <v>318</v>
      </c>
      <c r="H158" t="s">
        <v>122</v>
      </c>
      <c r="I158" t="s">
        <v>3376</v>
      </c>
    </row>
    <row r="159" spans="1:9">
      <c r="A159" s="5" t="s">
        <v>1186</v>
      </c>
      <c r="B159" s="5" t="s">
        <v>3377</v>
      </c>
      <c r="C159" t="s">
        <v>3378</v>
      </c>
      <c r="D159" t="s">
        <v>3379</v>
      </c>
      <c r="E159" t="s">
        <v>3379</v>
      </c>
      <c r="F159" t="s">
        <v>2887</v>
      </c>
      <c r="G159" t="s">
        <v>418</v>
      </c>
      <c r="H159" t="s">
        <v>122</v>
      </c>
      <c r="I159" t="s">
        <v>1367</v>
      </c>
    </row>
    <row r="160" spans="1:9">
      <c r="A160" s="5" t="s">
        <v>1192</v>
      </c>
      <c r="B160" s="5" t="s">
        <v>3380</v>
      </c>
      <c r="C160" t="s">
        <v>3381</v>
      </c>
      <c r="D160" t="s">
        <v>2957</v>
      </c>
      <c r="E160" t="s">
        <v>2957</v>
      </c>
      <c r="F160" t="s">
        <v>2891</v>
      </c>
      <c r="G160" t="s">
        <v>328</v>
      </c>
      <c r="H160" t="s">
        <v>122</v>
      </c>
      <c r="I160" t="s">
        <v>3382</v>
      </c>
    </row>
    <row r="161" spans="1:9">
      <c r="A161" s="5" t="s">
        <v>1192</v>
      </c>
      <c r="B161" s="5" t="s">
        <v>3380</v>
      </c>
      <c r="C161" t="s">
        <v>3381</v>
      </c>
      <c r="D161" t="s">
        <v>2957</v>
      </c>
      <c r="E161" t="s">
        <v>2957</v>
      </c>
      <c r="F161" t="s">
        <v>2891</v>
      </c>
      <c r="G161" t="s">
        <v>328</v>
      </c>
      <c r="H161" t="s">
        <v>122</v>
      </c>
      <c r="I161" t="s">
        <v>3382</v>
      </c>
    </row>
    <row r="162" spans="1:9">
      <c r="A162" s="5" t="s">
        <v>2861</v>
      </c>
      <c r="B162" s="5" t="s">
        <v>2861</v>
      </c>
      <c r="C162" t="s">
        <v>3383</v>
      </c>
      <c r="D162" t="s">
        <v>3384</v>
      </c>
      <c r="E162" t="s">
        <v>3384</v>
      </c>
      <c r="F162" t="s">
        <v>2887</v>
      </c>
      <c r="G162" t="s">
        <v>308</v>
      </c>
      <c r="H162" t="s">
        <v>122</v>
      </c>
      <c r="I162" t="s">
        <v>2555</v>
      </c>
    </row>
    <row r="163" spans="1:9">
      <c r="A163" s="5" t="s">
        <v>1203</v>
      </c>
      <c r="B163" s="5" t="s">
        <v>3385</v>
      </c>
      <c r="C163" t="s">
        <v>3386</v>
      </c>
      <c r="D163" t="s">
        <v>3029</v>
      </c>
      <c r="E163" t="s">
        <v>3029</v>
      </c>
      <c r="F163" t="s">
        <v>2891</v>
      </c>
      <c r="G163" t="s">
        <v>328</v>
      </c>
      <c r="H163" t="s">
        <v>122</v>
      </c>
      <c r="I163" t="s">
        <v>380</v>
      </c>
    </row>
    <row r="164" spans="1:9">
      <c r="A164" s="5" t="s">
        <v>1212</v>
      </c>
      <c r="B164" s="5" t="s">
        <v>3387</v>
      </c>
      <c r="C164" t="s">
        <v>3388</v>
      </c>
      <c r="D164" t="s">
        <v>2911</v>
      </c>
      <c r="E164" t="s">
        <v>2911</v>
      </c>
      <c r="F164" t="s">
        <v>2887</v>
      </c>
      <c r="G164" t="s">
        <v>308</v>
      </c>
      <c r="H164" t="s">
        <v>122</v>
      </c>
      <c r="I164" t="s">
        <v>3389</v>
      </c>
    </row>
    <row r="165" spans="1:9">
      <c r="A165" s="5" t="s">
        <v>1215</v>
      </c>
      <c r="B165" s="5" t="s">
        <v>3390</v>
      </c>
      <c r="C165" t="s">
        <v>327</v>
      </c>
      <c r="D165" t="s">
        <v>3391</v>
      </c>
      <c r="E165" t="s">
        <v>3391</v>
      </c>
      <c r="F165" t="s">
        <v>2887</v>
      </c>
      <c r="G165" t="s">
        <v>418</v>
      </c>
      <c r="H165" t="s">
        <v>122</v>
      </c>
      <c r="I165" t="s">
        <v>327</v>
      </c>
    </row>
    <row r="166" spans="1:9">
      <c r="A166" s="5" t="s">
        <v>1221</v>
      </c>
      <c r="B166" s="5" t="s">
        <v>3392</v>
      </c>
      <c r="C166" t="s">
        <v>327</v>
      </c>
      <c r="D166" t="s">
        <v>3393</v>
      </c>
      <c r="E166" t="s">
        <v>3393</v>
      </c>
      <c r="F166" t="s">
        <v>2887</v>
      </c>
      <c r="G166" t="s">
        <v>424</v>
      </c>
      <c r="H166" t="s">
        <v>122</v>
      </c>
      <c r="I166" t="s">
        <v>327</v>
      </c>
    </row>
    <row r="167" spans="1:9">
      <c r="A167" s="5" t="s">
        <v>1221</v>
      </c>
      <c r="B167" s="5" t="s">
        <v>3394</v>
      </c>
      <c r="C167" t="s">
        <v>3395</v>
      </c>
      <c r="D167" t="s">
        <v>3393</v>
      </c>
      <c r="E167" t="s">
        <v>3393</v>
      </c>
      <c r="F167" t="s">
        <v>2887</v>
      </c>
      <c r="G167" t="s">
        <v>424</v>
      </c>
      <c r="H167" t="s">
        <v>122</v>
      </c>
      <c r="I167" t="s">
        <v>3396</v>
      </c>
    </row>
    <row r="168" spans="1:9">
      <c r="A168" s="5" t="s">
        <v>1224</v>
      </c>
      <c r="B168" s="5" t="s">
        <v>3397</v>
      </c>
      <c r="C168" t="s">
        <v>3398</v>
      </c>
      <c r="D168" t="s">
        <v>3205</v>
      </c>
      <c r="E168" t="s">
        <v>3205</v>
      </c>
      <c r="F168" t="s">
        <v>2887</v>
      </c>
      <c r="G168" t="s">
        <v>318</v>
      </c>
      <c r="H168" t="s">
        <v>122</v>
      </c>
      <c r="I168" t="s">
        <v>851</v>
      </c>
    </row>
    <row r="169" spans="1:9">
      <c r="A169" s="5" t="s">
        <v>1231</v>
      </c>
      <c r="B169" s="5" t="s">
        <v>3399</v>
      </c>
      <c r="C169" t="s">
        <v>3400</v>
      </c>
      <c r="D169" t="s">
        <v>3401</v>
      </c>
      <c r="E169" t="s">
        <v>3401</v>
      </c>
      <c r="F169" t="s">
        <v>2887</v>
      </c>
      <c r="G169" t="s">
        <v>318</v>
      </c>
      <c r="H169" t="s">
        <v>122</v>
      </c>
      <c r="I169" t="s">
        <v>2066</v>
      </c>
    </row>
    <row r="170" spans="1:9" ht="29.1">
      <c r="A170" s="5" t="s">
        <v>928</v>
      </c>
      <c r="B170" s="5" t="s">
        <v>3402</v>
      </c>
      <c r="C170" t="s">
        <v>3403</v>
      </c>
      <c r="D170" t="s">
        <v>3404</v>
      </c>
      <c r="E170" t="s">
        <v>3404</v>
      </c>
      <c r="F170" t="s">
        <v>2887</v>
      </c>
      <c r="G170" t="s">
        <v>376</v>
      </c>
      <c r="H170" t="s">
        <v>122</v>
      </c>
      <c r="I170" t="s">
        <v>3405</v>
      </c>
    </row>
    <row r="171" spans="1:9">
      <c r="A171" s="5" t="s">
        <v>1238</v>
      </c>
      <c r="B171" s="5" t="s">
        <v>3406</v>
      </c>
      <c r="C171" t="s">
        <v>3407</v>
      </c>
      <c r="D171" t="s">
        <v>2957</v>
      </c>
      <c r="E171" t="s">
        <v>2957</v>
      </c>
      <c r="F171" t="s">
        <v>2891</v>
      </c>
      <c r="G171" t="s">
        <v>328</v>
      </c>
      <c r="H171" t="s">
        <v>122</v>
      </c>
      <c r="I171" t="s">
        <v>3408</v>
      </c>
    </row>
    <row r="172" spans="1:9">
      <c r="A172" s="5" t="s">
        <v>1241</v>
      </c>
      <c r="B172" s="5" t="s">
        <v>3409</v>
      </c>
      <c r="C172" t="s">
        <v>3410</v>
      </c>
      <c r="D172" t="s">
        <v>3411</v>
      </c>
      <c r="E172" t="s">
        <v>3411</v>
      </c>
      <c r="F172" t="s">
        <v>2891</v>
      </c>
      <c r="G172" t="s">
        <v>357</v>
      </c>
      <c r="H172" t="s">
        <v>122</v>
      </c>
      <c r="I172" t="s">
        <v>2931</v>
      </c>
    </row>
    <row r="173" spans="1:9">
      <c r="A173" s="5" t="s">
        <v>1964</v>
      </c>
      <c r="B173" s="5" t="s">
        <v>3412</v>
      </c>
      <c r="C173" t="s">
        <v>3413</v>
      </c>
      <c r="D173" t="s">
        <v>2930</v>
      </c>
      <c r="E173" t="s">
        <v>2930</v>
      </c>
      <c r="F173" t="s">
        <v>2891</v>
      </c>
      <c r="G173" t="s">
        <v>357</v>
      </c>
      <c r="H173" t="s">
        <v>122</v>
      </c>
      <c r="I173" t="s">
        <v>2931</v>
      </c>
    </row>
    <row r="174" spans="1:9">
      <c r="A174" s="5" t="s">
        <v>1277</v>
      </c>
      <c r="B174" s="5" t="s">
        <v>3414</v>
      </c>
      <c r="C174" t="s">
        <v>3415</v>
      </c>
      <c r="D174" t="s">
        <v>3416</v>
      </c>
      <c r="E174" t="s">
        <v>3416</v>
      </c>
      <c r="F174" t="s">
        <v>2891</v>
      </c>
      <c r="G174" t="s">
        <v>357</v>
      </c>
      <c r="H174" t="s">
        <v>122</v>
      </c>
      <c r="I174" t="s">
        <v>2931</v>
      </c>
    </row>
    <row r="175" spans="1:9">
      <c r="A175" s="5" t="s">
        <v>1277</v>
      </c>
      <c r="B175" s="5" t="s">
        <v>3414</v>
      </c>
      <c r="C175" t="s">
        <v>3417</v>
      </c>
      <c r="D175" t="s">
        <v>3416</v>
      </c>
      <c r="E175" t="s">
        <v>3416</v>
      </c>
      <c r="F175" t="s">
        <v>2891</v>
      </c>
      <c r="G175" t="s">
        <v>357</v>
      </c>
      <c r="H175" t="s">
        <v>122</v>
      </c>
      <c r="I175" t="s">
        <v>2931</v>
      </c>
    </row>
    <row r="176" spans="1:9">
      <c r="A176" s="5" t="s">
        <v>1244</v>
      </c>
      <c r="B176" s="5" t="s">
        <v>3418</v>
      </c>
      <c r="C176" t="s">
        <v>3419</v>
      </c>
      <c r="D176" t="s">
        <v>3420</v>
      </c>
      <c r="E176" t="s">
        <v>3420</v>
      </c>
      <c r="F176" t="s">
        <v>2887</v>
      </c>
      <c r="G176" t="s">
        <v>318</v>
      </c>
      <c r="H176" t="s">
        <v>122</v>
      </c>
      <c r="I176" t="s">
        <v>3301</v>
      </c>
    </row>
    <row r="177" spans="1:9">
      <c r="A177" s="5" t="s">
        <v>1260</v>
      </c>
      <c r="B177" s="5" t="s">
        <v>3421</v>
      </c>
      <c r="C177" t="s">
        <v>327</v>
      </c>
      <c r="D177" t="s">
        <v>3049</v>
      </c>
      <c r="E177" t="s">
        <v>3049</v>
      </c>
      <c r="F177" t="s">
        <v>2887</v>
      </c>
      <c r="G177" t="s">
        <v>210</v>
      </c>
      <c r="H177" t="s">
        <v>122</v>
      </c>
      <c r="I177" t="s">
        <v>327</v>
      </c>
    </row>
    <row r="178" spans="1:9">
      <c r="A178" s="5" t="s">
        <v>1260</v>
      </c>
      <c r="B178" s="5" t="s">
        <v>3422</v>
      </c>
      <c r="C178" t="s">
        <v>3423</v>
      </c>
      <c r="D178" t="s">
        <v>3049</v>
      </c>
      <c r="E178" t="s">
        <v>3049</v>
      </c>
      <c r="F178" t="s">
        <v>2887</v>
      </c>
      <c r="G178" t="s">
        <v>210</v>
      </c>
      <c r="H178" t="s">
        <v>122</v>
      </c>
      <c r="I178" t="s">
        <v>3424</v>
      </c>
    </row>
    <row r="179" spans="1:9">
      <c r="A179" s="5" t="s">
        <v>1282</v>
      </c>
      <c r="B179" s="5" t="s">
        <v>3425</v>
      </c>
      <c r="C179" t="s">
        <v>3426</v>
      </c>
      <c r="D179" t="s">
        <v>3255</v>
      </c>
      <c r="E179" t="s">
        <v>3255</v>
      </c>
      <c r="F179" t="s">
        <v>2887</v>
      </c>
      <c r="G179" t="s">
        <v>418</v>
      </c>
      <c r="H179" t="s">
        <v>122</v>
      </c>
      <c r="I179" t="s">
        <v>2921</v>
      </c>
    </row>
    <row r="180" spans="1:9">
      <c r="A180" s="5" t="s">
        <v>1311</v>
      </c>
      <c r="B180" s="5" t="s">
        <v>3427</v>
      </c>
      <c r="C180" t="s">
        <v>3428</v>
      </c>
      <c r="D180" t="s">
        <v>3429</v>
      </c>
      <c r="E180" t="s">
        <v>3429</v>
      </c>
      <c r="F180" t="s">
        <v>2887</v>
      </c>
      <c r="G180" t="s">
        <v>318</v>
      </c>
      <c r="H180" t="s">
        <v>122</v>
      </c>
      <c r="I180" t="s">
        <v>3430</v>
      </c>
    </row>
    <row r="181" spans="1:9">
      <c r="A181" s="5" t="s">
        <v>1322</v>
      </c>
      <c r="B181" s="5" t="s">
        <v>3431</v>
      </c>
      <c r="C181" t="s">
        <v>3432</v>
      </c>
      <c r="D181" t="s">
        <v>2957</v>
      </c>
      <c r="E181" t="s">
        <v>2957</v>
      </c>
      <c r="F181" t="s">
        <v>2891</v>
      </c>
      <c r="G181" t="s">
        <v>357</v>
      </c>
      <c r="H181" t="s">
        <v>122</v>
      </c>
      <c r="I181" t="s">
        <v>3433</v>
      </c>
    </row>
    <row r="182" spans="1:9">
      <c r="A182" s="5" t="s">
        <v>1351</v>
      </c>
      <c r="B182" s="5" t="s">
        <v>3434</v>
      </c>
      <c r="C182" t="s">
        <v>3435</v>
      </c>
      <c r="D182" t="s">
        <v>3436</v>
      </c>
      <c r="E182" t="s">
        <v>3437</v>
      </c>
      <c r="F182" t="s">
        <v>2887</v>
      </c>
      <c r="G182" t="s">
        <v>376</v>
      </c>
      <c r="H182" t="s">
        <v>122</v>
      </c>
      <c r="I182" t="s">
        <v>898</v>
      </c>
    </row>
    <row r="183" spans="1:9">
      <c r="A183" s="5" t="s">
        <v>1370</v>
      </c>
      <c r="B183" s="5" t="s">
        <v>1370</v>
      </c>
      <c r="C183" t="s">
        <v>3438</v>
      </c>
      <c r="D183" t="s">
        <v>3223</v>
      </c>
      <c r="E183" t="s">
        <v>3223</v>
      </c>
      <c r="F183" t="s">
        <v>2891</v>
      </c>
      <c r="G183" t="s">
        <v>328</v>
      </c>
      <c r="H183" t="s">
        <v>122</v>
      </c>
      <c r="I183" t="s">
        <v>336</v>
      </c>
    </row>
    <row r="184" spans="1:9">
      <c r="A184" s="5" t="s">
        <v>1382</v>
      </c>
      <c r="B184" s="5" t="s">
        <v>3439</v>
      </c>
      <c r="C184" t="s">
        <v>3440</v>
      </c>
      <c r="D184" t="s">
        <v>3441</v>
      </c>
      <c r="E184" t="s">
        <v>3442</v>
      </c>
      <c r="F184" t="s">
        <v>2887</v>
      </c>
      <c r="G184" t="s">
        <v>308</v>
      </c>
      <c r="H184" t="s">
        <v>122</v>
      </c>
      <c r="I184" t="s">
        <v>3443</v>
      </c>
    </row>
    <row r="185" spans="1:9">
      <c r="A185" s="5" t="s">
        <v>1407</v>
      </c>
      <c r="B185" s="5" t="s">
        <v>3444</v>
      </c>
      <c r="C185" t="s">
        <v>3445</v>
      </c>
      <c r="D185" t="s">
        <v>3446</v>
      </c>
      <c r="E185" t="s">
        <v>3446</v>
      </c>
      <c r="F185" t="s">
        <v>2887</v>
      </c>
      <c r="G185" t="s">
        <v>308</v>
      </c>
      <c r="H185" t="s">
        <v>122</v>
      </c>
      <c r="I185" t="s">
        <v>2908</v>
      </c>
    </row>
    <row r="186" spans="1:9">
      <c r="A186" s="5" t="s">
        <v>1415</v>
      </c>
      <c r="B186" s="5" t="s">
        <v>3447</v>
      </c>
      <c r="C186" t="s">
        <v>3448</v>
      </c>
      <c r="D186" t="s">
        <v>3449</v>
      </c>
      <c r="E186" t="s">
        <v>3449</v>
      </c>
      <c r="F186" t="s">
        <v>2887</v>
      </c>
      <c r="G186" t="s">
        <v>318</v>
      </c>
      <c r="H186" t="s">
        <v>122</v>
      </c>
      <c r="I186" t="s">
        <v>3450</v>
      </c>
    </row>
    <row r="187" spans="1:9">
      <c r="A187" s="5" t="s">
        <v>1419</v>
      </c>
      <c r="B187" s="5" t="s">
        <v>3451</v>
      </c>
      <c r="C187" t="s">
        <v>3448</v>
      </c>
      <c r="D187" t="s">
        <v>3384</v>
      </c>
      <c r="E187" t="s">
        <v>3384</v>
      </c>
      <c r="F187" t="s">
        <v>2887</v>
      </c>
      <c r="G187" t="s">
        <v>318</v>
      </c>
      <c r="H187" t="s">
        <v>122</v>
      </c>
      <c r="I187" t="s">
        <v>3450</v>
      </c>
    </row>
    <row r="188" spans="1:9">
      <c r="A188" s="5" t="s">
        <v>1448</v>
      </c>
      <c r="B188" s="5" t="s">
        <v>3452</v>
      </c>
      <c r="C188" t="s">
        <v>3453</v>
      </c>
      <c r="D188" t="s">
        <v>3454</v>
      </c>
      <c r="E188" t="s">
        <v>3454</v>
      </c>
      <c r="F188" t="s">
        <v>2887</v>
      </c>
      <c r="G188" t="s">
        <v>308</v>
      </c>
      <c r="H188" t="s">
        <v>122</v>
      </c>
      <c r="I188" t="s">
        <v>3455</v>
      </c>
    </row>
    <row r="189" spans="1:9">
      <c r="A189" s="5" t="s">
        <v>1427</v>
      </c>
      <c r="B189" s="5" t="s">
        <v>3456</v>
      </c>
      <c r="C189" t="s">
        <v>3457</v>
      </c>
      <c r="D189" t="s">
        <v>3458</v>
      </c>
      <c r="E189" t="s">
        <v>3458</v>
      </c>
      <c r="F189" t="s">
        <v>2887</v>
      </c>
      <c r="G189" t="s">
        <v>376</v>
      </c>
      <c r="H189" t="s">
        <v>122</v>
      </c>
      <c r="I189" t="s">
        <v>477</v>
      </c>
    </row>
    <row r="190" spans="1:9">
      <c r="A190" s="5" t="s">
        <v>1424</v>
      </c>
      <c r="B190" s="5" t="s">
        <v>1424</v>
      </c>
      <c r="C190" t="s">
        <v>3459</v>
      </c>
      <c r="D190" t="s">
        <v>2957</v>
      </c>
      <c r="E190" t="s">
        <v>2957</v>
      </c>
      <c r="F190" t="s">
        <v>2891</v>
      </c>
      <c r="G190" t="s">
        <v>328</v>
      </c>
      <c r="H190" t="s">
        <v>122</v>
      </c>
      <c r="I190" t="s">
        <v>477</v>
      </c>
    </row>
    <row r="191" spans="1:9">
      <c r="A191" s="5" t="s">
        <v>1439</v>
      </c>
      <c r="B191" s="5" t="s">
        <v>1439</v>
      </c>
      <c r="C191" t="s">
        <v>3460</v>
      </c>
      <c r="D191" t="s">
        <v>3461</v>
      </c>
      <c r="E191" t="s">
        <v>3461</v>
      </c>
      <c r="F191" t="s">
        <v>2887</v>
      </c>
      <c r="G191" t="s">
        <v>210</v>
      </c>
      <c r="H191" t="s">
        <v>122</v>
      </c>
      <c r="I191" t="s">
        <v>3462</v>
      </c>
    </row>
    <row r="192" spans="1:9">
      <c r="A192" s="5" t="s">
        <v>1463</v>
      </c>
      <c r="B192" s="5" t="s">
        <v>1463</v>
      </c>
      <c r="C192" t="s">
        <v>3463</v>
      </c>
      <c r="D192" t="s">
        <v>3464</v>
      </c>
      <c r="E192" t="s">
        <v>3464</v>
      </c>
      <c r="F192" t="s">
        <v>2887</v>
      </c>
      <c r="G192" t="s">
        <v>318</v>
      </c>
      <c r="H192" t="s">
        <v>122</v>
      </c>
      <c r="I192" t="s">
        <v>3465</v>
      </c>
    </row>
    <row r="193" spans="1:9">
      <c r="A193" s="5" t="s">
        <v>1374</v>
      </c>
      <c r="B193" s="5" t="s">
        <v>3466</v>
      </c>
      <c r="C193" t="s">
        <v>3467</v>
      </c>
      <c r="D193" t="s">
        <v>2999</v>
      </c>
      <c r="E193" t="s">
        <v>2999</v>
      </c>
      <c r="F193" t="s">
        <v>2891</v>
      </c>
      <c r="G193" t="s">
        <v>328</v>
      </c>
      <c r="H193" t="s">
        <v>122</v>
      </c>
      <c r="I193" t="s">
        <v>2931</v>
      </c>
    </row>
    <row r="194" spans="1:9">
      <c r="A194" s="5" t="s">
        <v>1467</v>
      </c>
      <c r="B194" s="5" t="s">
        <v>3468</v>
      </c>
      <c r="C194" t="s">
        <v>3469</v>
      </c>
      <c r="D194" t="s">
        <v>3470</v>
      </c>
      <c r="E194" t="s">
        <v>3470</v>
      </c>
      <c r="F194" t="s">
        <v>2887</v>
      </c>
      <c r="G194" t="s">
        <v>308</v>
      </c>
      <c r="H194" t="s">
        <v>122</v>
      </c>
      <c r="I194" t="s">
        <v>3471</v>
      </c>
    </row>
    <row r="195" spans="1:9">
      <c r="A195" s="5" t="s">
        <v>1474</v>
      </c>
      <c r="B195" s="5" t="s">
        <v>1474</v>
      </c>
      <c r="C195" t="s">
        <v>3472</v>
      </c>
      <c r="D195" t="s">
        <v>3045</v>
      </c>
      <c r="E195" t="s">
        <v>3045</v>
      </c>
      <c r="F195" t="s">
        <v>2891</v>
      </c>
      <c r="G195" t="s">
        <v>328</v>
      </c>
      <c r="H195" t="s">
        <v>122</v>
      </c>
      <c r="I195" t="s">
        <v>2303</v>
      </c>
    </row>
    <row r="196" spans="1:9">
      <c r="A196" s="5" t="s">
        <v>1719</v>
      </c>
      <c r="B196" s="5" t="s">
        <v>3473</v>
      </c>
      <c r="C196" t="s">
        <v>3474</v>
      </c>
      <c r="D196" t="s">
        <v>3475</v>
      </c>
      <c r="E196" t="s">
        <v>3476</v>
      </c>
      <c r="F196" t="s">
        <v>2891</v>
      </c>
      <c r="G196" t="s">
        <v>418</v>
      </c>
      <c r="H196" t="s">
        <v>122</v>
      </c>
      <c r="I196" t="s">
        <v>3477</v>
      </c>
    </row>
    <row r="197" spans="1:9" ht="29.1">
      <c r="A197" s="5" t="s">
        <v>2094</v>
      </c>
      <c r="B197" s="5" t="s">
        <v>3478</v>
      </c>
      <c r="C197" t="s">
        <v>3479</v>
      </c>
      <c r="D197" t="s">
        <v>3017</v>
      </c>
      <c r="E197" t="s">
        <v>3017</v>
      </c>
      <c r="F197" t="s">
        <v>2887</v>
      </c>
      <c r="G197" t="s">
        <v>210</v>
      </c>
      <c r="H197" t="s">
        <v>122</v>
      </c>
      <c r="I197" t="s">
        <v>3480</v>
      </c>
    </row>
    <row r="198" spans="1:9" ht="29.1">
      <c r="A198" s="5" t="s">
        <v>1726</v>
      </c>
      <c r="B198" s="5" t="s">
        <v>3481</v>
      </c>
      <c r="C198" t="s">
        <v>3482</v>
      </c>
      <c r="D198" t="s">
        <v>3223</v>
      </c>
      <c r="E198" t="s">
        <v>3223</v>
      </c>
      <c r="F198" t="s">
        <v>2891</v>
      </c>
      <c r="G198" t="s">
        <v>328</v>
      </c>
      <c r="H198" t="s">
        <v>122</v>
      </c>
      <c r="I198" t="s">
        <v>766</v>
      </c>
    </row>
    <row r="199" spans="1:9">
      <c r="A199" s="5" t="s">
        <v>1491</v>
      </c>
      <c r="B199" s="5" t="s">
        <v>3483</v>
      </c>
      <c r="C199" t="s">
        <v>3484</v>
      </c>
      <c r="D199" t="s">
        <v>3240</v>
      </c>
      <c r="E199" t="s">
        <v>3240</v>
      </c>
      <c r="F199" t="s">
        <v>2891</v>
      </c>
      <c r="G199" t="s">
        <v>424</v>
      </c>
      <c r="H199" t="s">
        <v>122</v>
      </c>
      <c r="I199" t="s">
        <v>3485</v>
      </c>
    </row>
    <row r="200" spans="1:9">
      <c r="A200" s="5" t="s">
        <v>1494</v>
      </c>
      <c r="B200" s="5" t="s">
        <v>3486</v>
      </c>
      <c r="C200" t="s">
        <v>3487</v>
      </c>
      <c r="D200" t="s">
        <v>2957</v>
      </c>
      <c r="E200" t="s">
        <v>2957</v>
      </c>
      <c r="F200" t="s">
        <v>2891</v>
      </c>
      <c r="G200" t="s">
        <v>328</v>
      </c>
      <c r="H200" t="s">
        <v>122</v>
      </c>
      <c r="I200" t="s">
        <v>1585</v>
      </c>
    </row>
    <row r="201" spans="1:9" ht="29.1">
      <c r="A201" s="5" t="s">
        <v>1497</v>
      </c>
      <c r="B201" s="5" t="s">
        <v>3488</v>
      </c>
      <c r="C201" t="s">
        <v>3489</v>
      </c>
      <c r="D201" t="s">
        <v>3144</v>
      </c>
      <c r="E201" t="s">
        <v>3144</v>
      </c>
      <c r="F201" t="s">
        <v>2891</v>
      </c>
      <c r="G201" t="s">
        <v>328</v>
      </c>
      <c r="H201" t="s">
        <v>122</v>
      </c>
      <c r="I201" t="s">
        <v>2931</v>
      </c>
    </row>
    <row r="202" spans="1:9">
      <c r="A202" s="5" t="s">
        <v>1515</v>
      </c>
      <c r="B202" s="5" t="s">
        <v>3490</v>
      </c>
      <c r="C202" t="s">
        <v>3491</v>
      </c>
      <c r="D202" t="s">
        <v>2957</v>
      </c>
      <c r="E202" t="s">
        <v>2957</v>
      </c>
      <c r="F202" t="s">
        <v>2891</v>
      </c>
      <c r="G202" t="s">
        <v>328</v>
      </c>
      <c r="H202" t="s">
        <v>122</v>
      </c>
      <c r="I202" t="s">
        <v>2942</v>
      </c>
    </row>
    <row r="203" spans="1:9">
      <c r="A203" s="5" t="s">
        <v>1518</v>
      </c>
      <c r="B203" s="5" t="s">
        <v>3492</v>
      </c>
      <c r="C203" t="s">
        <v>3493</v>
      </c>
      <c r="D203" t="s">
        <v>3411</v>
      </c>
      <c r="E203" t="s">
        <v>3411</v>
      </c>
      <c r="F203" t="s">
        <v>2887</v>
      </c>
      <c r="G203" t="s">
        <v>210</v>
      </c>
      <c r="H203" t="s">
        <v>122</v>
      </c>
      <c r="I203" t="s">
        <v>3494</v>
      </c>
    </row>
    <row r="204" spans="1:9">
      <c r="A204" s="5" t="s">
        <v>1545</v>
      </c>
      <c r="B204" s="5" t="s">
        <v>3495</v>
      </c>
      <c r="C204" t="s">
        <v>3496</v>
      </c>
      <c r="D204" t="s">
        <v>3017</v>
      </c>
      <c r="E204" t="s">
        <v>3497</v>
      </c>
      <c r="F204" t="s">
        <v>2891</v>
      </c>
      <c r="G204" t="s">
        <v>357</v>
      </c>
      <c r="H204" t="s">
        <v>122</v>
      </c>
      <c r="I204" t="s">
        <v>1728</v>
      </c>
    </row>
    <row r="205" spans="1:9">
      <c r="A205" s="5" t="s">
        <v>1549</v>
      </c>
      <c r="B205" s="5" t="s">
        <v>3498</v>
      </c>
      <c r="C205" t="s">
        <v>3499</v>
      </c>
      <c r="D205" t="s">
        <v>3500</v>
      </c>
      <c r="E205" t="s">
        <v>3500</v>
      </c>
      <c r="F205" t="s">
        <v>2887</v>
      </c>
      <c r="G205" t="s">
        <v>357</v>
      </c>
      <c r="H205" t="s">
        <v>122</v>
      </c>
      <c r="I205" t="s">
        <v>1372</v>
      </c>
    </row>
    <row r="206" spans="1:9">
      <c r="A206" s="5" t="s">
        <v>1560</v>
      </c>
      <c r="B206" s="5" t="s">
        <v>3501</v>
      </c>
      <c r="C206" t="s">
        <v>3502</v>
      </c>
      <c r="D206" t="s">
        <v>3068</v>
      </c>
      <c r="E206" t="s">
        <v>3068</v>
      </c>
      <c r="F206" t="s">
        <v>2887</v>
      </c>
      <c r="G206" t="s">
        <v>318</v>
      </c>
      <c r="H206" t="s">
        <v>122</v>
      </c>
      <c r="I206" t="s">
        <v>2921</v>
      </c>
    </row>
    <row r="207" spans="1:9">
      <c r="A207" s="5" t="s">
        <v>1566</v>
      </c>
      <c r="B207" s="5" t="s">
        <v>3503</v>
      </c>
      <c r="C207" t="s">
        <v>3504</v>
      </c>
      <c r="D207" t="s">
        <v>2957</v>
      </c>
      <c r="E207" t="s">
        <v>2957</v>
      </c>
      <c r="F207" t="s">
        <v>2891</v>
      </c>
      <c r="G207" t="s">
        <v>328</v>
      </c>
      <c r="H207" t="s">
        <v>122</v>
      </c>
      <c r="I207" t="s">
        <v>1663</v>
      </c>
    </row>
    <row r="208" spans="1:9">
      <c r="A208" s="5" t="s">
        <v>1592</v>
      </c>
      <c r="B208" s="5" t="s">
        <v>1592</v>
      </c>
      <c r="C208" t="s">
        <v>3505</v>
      </c>
      <c r="D208" t="s">
        <v>3506</v>
      </c>
      <c r="E208" t="s">
        <v>3506</v>
      </c>
      <c r="F208" t="s">
        <v>2887</v>
      </c>
      <c r="G208" t="s">
        <v>318</v>
      </c>
      <c r="H208" t="s">
        <v>122</v>
      </c>
      <c r="I208" t="s">
        <v>3507</v>
      </c>
    </row>
    <row r="209" spans="1:9">
      <c r="A209" s="5" t="s">
        <v>1582</v>
      </c>
      <c r="B209" s="5" t="s">
        <v>3508</v>
      </c>
      <c r="C209" t="s">
        <v>3509</v>
      </c>
      <c r="D209" t="s">
        <v>3510</v>
      </c>
      <c r="E209" t="s">
        <v>3510</v>
      </c>
      <c r="F209" t="s">
        <v>2887</v>
      </c>
      <c r="G209" t="s">
        <v>318</v>
      </c>
      <c r="H209" t="s">
        <v>122</v>
      </c>
      <c r="I209" t="s">
        <v>3511</v>
      </c>
    </row>
    <row r="210" spans="1:9" ht="29.1">
      <c r="A210" s="5" t="s">
        <v>959</v>
      </c>
      <c r="B210" s="5" t="s">
        <v>3512</v>
      </c>
      <c r="C210" t="s">
        <v>327</v>
      </c>
      <c r="D210" t="s">
        <v>2957</v>
      </c>
      <c r="E210" t="s">
        <v>2957</v>
      </c>
      <c r="F210" t="s">
        <v>2891</v>
      </c>
      <c r="G210" t="s">
        <v>328</v>
      </c>
      <c r="H210" t="s">
        <v>122</v>
      </c>
      <c r="I210" t="s">
        <v>327</v>
      </c>
    </row>
    <row r="211" spans="1:9" ht="29.1">
      <c r="A211" s="5" t="s">
        <v>959</v>
      </c>
      <c r="B211" s="5" t="s">
        <v>3513</v>
      </c>
      <c r="C211" t="s">
        <v>3514</v>
      </c>
      <c r="D211" t="s">
        <v>2957</v>
      </c>
      <c r="E211" t="s">
        <v>2957</v>
      </c>
      <c r="F211" t="s">
        <v>2891</v>
      </c>
      <c r="G211" t="s">
        <v>328</v>
      </c>
      <c r="H211" t="s">
        <v>122</v>
      </c>
      <c r="I211" t="s">
        <v>3515</v>
      </c>
    </row>
    <row r="212" spans="1:9">
      <c r="A212" s="5" t="s">
        <v>1617</v>
      </c>
      <c r="B212" s="5" t="s">
        <v>3516</v>
      </c>
      <c r="C212" t="s">
        <v>3517</v>
      </c>
      <c r="D212" t="s">
        <v>3002</v>
      </c>
      <c r="E212" t="s">
        <v>3002</v>
      </c>
      <c r="F212" t="s">
        <v>2887</v>
      </c>
      <c r="G212" t="s">
        <v>376</v>
      </c>
      <c r="H212" t="s">
        <v>122</v>
      </c>
      <c r="I212" t="s">
        <v>3518</v>
      </c>
    </row>
    <row r="213" spans="1:9">
      <c r="A213" s="5" t="s">
        <v>1624</v>
      </c>
      <c r="B213" s="5" t="s">
        <v>3519</v>
      </c>
      <c r="C213" t="s">
        <v>3520</v>
      </c>
      <c r="D213" t="s">
        <v>3521</v>
      </c>
      <c r="E213" t="s">
        <v>3521</v>
      </c>
      <c r="F213" t="s">
        <v>2891</v>
      </c>
      <c r="G213" t="s">
        <v>357</v>
      </c>
      <c r="H213" t="s">
        <v>122</v>
      </c>
      <c r="I213" t="s">
        <v>3522</v>
      </c>
    </row>
    <row r="214" spans="1:9">
      <c r="A214" s="5" t="s">
        <v>1641</v>
      </c>
      <c r="B214" s="5" t="s">
        <v>3523</v>
      </c>
      <c r="C214" t="s">
        <v>3524</v>
      </c>
      <c r="D214" t="s">
        <v>3525</v>
      </c>
      <c r="E214" t="s">
        <v>3525</v>
      </c>
      <c r="F214" t="s">
        <v>2887</v>
      </c>
      <c r="G214" t="s">
        <v>376</v>
      </c>
      <c r="H214" t="s">
        <v>122</v>
      </c>
      <c r="I214" t="s">
        <v>2921</v>
      </c>
    </row>
    <row r="215" spans="1:9">
      <c r="A215" s="5" t="s">
        <v>1655</v>
      </c>
      <c r="B215" s="5" t="s">
        <v>3526</v>
      </c>
      <c r="C215" t="s">
        <v>3527</v>
      </c>
      <c r="D215" t="s">
        <v>3002</v>
      </c>
      <c r="E215" t="s">
        <v>3002</v>
      </c>
      <c r="F215" t="s">
        <v>2887</v>
      </c>
      <c r="G215" t="s">
        <v>318</v>
      </c>
      <c r="H215" t="s">
        <v>122</v>
      </c>
      <c r="I215" t="s">
        <v>3528</v>
      </c>
    </row>
    <row r="216" spans="1:9">
      <c r="A216" s="5" t="s">
        <v>1659</v>
      </c>
      <c r="B216" s="5" t="s">
        <v>3529</v>
      </c>
      <c r="C216" t="s">
        <v>3527</v>
      </c>
      <c r="D216" t="s">
        <v>3002</v>
      </c>
      <c r="E216" t="s">
        <v>3002</v>
      </c>
      <c r="F216" t="s">
        <v>2887</v>
      </c>
      <c r="G216" t="s">
        <v>318</v>
      </c>
      <c r="H216" t="s">
        <v>122</v>
      </c>
      <c r="I216" t="s">
        <v>3528</v>
      </c>
    </row>
    <row r="217" spans="1:9" ht="29.1">
      <c r="A217" s="5" t="s">
        <v>1662</v>
      </c>
      <c r="B217" s="5" t="s">
        <v>3530</v>
      </c>
      <c r="C217" t="s">
        <v>3527</v>
      </c>
      <c r="D217" t="s">
        <v>2899</v>
      </c>
      <c r="E217" t="s">
        <v>2899</v>
      </c>
      <c r="F217" t="s">
        <v>2887</v>
      </c>
      <c r="G217" t="s">
        <v>318</v>
      </c>
      <c r="H217" t="s">
        <v>122</v>
      </c>
      <c r="I217" t="s">
        <v>3528</v>
      </c>
    </row>
    <row r="218" spans="1:9">
      <c r="A218" s="5" t="s">
        <v>1602</v>
      </c>
      <c r="B218" s="5" t="s">
        <v>3531</v>
      </c>
      <c r="C218" t="s">
        <v>3532</v>
      </c>
      <c r="D218" t="s">
        <v>2995</v>
      </c>
      <c r="E218" t="s">
        <v>2924</v>
      </c>
      <c r="F218" t="s">
        <v>2891</v>
      </c>
      <c r="G218" t="s">
        <v>328</v>
      </c>
      <c r="H218" t="s">
        <v>122</v>
      </c>
      <c r="I218" t="s">
        <v>2931</v>
      </c>
    </row>
    <row r="219" spans="1:9">
      <c r="A219" s="5" t="s">
        <v>1674</v>
      </c>
      <c r="B219" s="5" t="s">
        <v>2947</v>
      </c>
      <c r="C219" t="s">
        <v>2948</v>
      </c>
      <c r="D219" t="s">
        <v>2973</v>
      </c>
      <c r="E219" t="s">
        <v>2973</v>
      </c>
      <c r="F219" t="s">
        <v>2887</v>
      </c>
      <c r="G219" t="s">
        <v>318</v>
      </c>
      <c r="H219" t="s">
        <v>122</v>
      </c>
      <c r="I219" t="s">
        <v>2950</v>
      </c>
    </row>
    <row r="220" spans="1:9">
      <c r="A220" s="5" t="s">
        <v>1688</v>
      </c>
      <c r="B220" s="5" t="s">
        <v>3533</v>
      </c>
      <c r="C220" t="s">
        <v>3534</v>
      </c>
      <c r="D220" t="s">
        <v>3205</v>
      </c>
      <c r="E220" t="s">
        <v>3205</v>
      </c>
      <c r="F220" t="s">
        <v>2887</v>
      </c>
      <c r="G220" t="s">
        <v>507</v>
      </c>
      <c r="H220" t="s">
        <v>122</v>
      </c>
      <c r="I220" t="s">
        <v>3535</v>
      </c>
    </row>
    <row r="221" spans="1:9">
      <c r="A221" s="5" t="s">
        <v>1696</v>
      </c>
      <c r="B221" s="5" t="s">
        <v>3536</v>
      </c>
      <c r="C221" t="s">
        <v>3537</v>
      </c>
      <c r="D221" t="s">
        <v>3068</v>
      </c>
      <c r="E221" t="s">
        <v>3068</v>
      </c>
      <c r="F221" t="s">
        <v>2887</v>
      </c>
      <c r="G221" t="s">
        <v>376</v>
      </c>
      <c r="H221" t="s">
        <v>122</v>
      </c>
      <c r="I221" t="s">
        <v>3538</v>
      </c>
    </row>
    <row r="222" spans="1:9">
      <c r="A222" s="5" t="s">
        <v>1977</v>
      </c>
      <c r="B222" s="5" t="s">
        <v>3539</v>
      </c>
      <c r="C222" t="s">
        <v>3540</v>
      </c>
      <c r="D222" t="s">
        <v>3361</v>
      </c>
      <c r="E222" t="s">
        <v>3361</v>
      </c>
      <c r="F222" t="s">
        <v>2891</v>
      </c>
      <c r="G222" t="s">
        <v>357</v>
      </c>
      <c r="H222" t="s">
        <v>122</v>
      </c>
      <c r="I222" t="s">
        <v>2931</v>
      </c>
    </row>
    <row r="223" spans="1:9">
      <c r="A223" s="5" t="s">
        <v>1709</v>
      </c>
      <c r="B223" s="5" t="s">
        <v>3541</v>
      </c>
      <c r="C223" t="s">
        <v>3542</v>
      </c>
      <c r="D223" t="s">
        <v>3411</v>
      </c>
      <c r="E223" t="s">
        <v>3411</v>
      </c>
      <c r="F223" t="s">
        <v>2891</v>
      </c>
      <c r="G223" t="s">
        <v>328</v>
      </c>
      <c r="H223" t="s">
        <v>122</v>
      </c>
      <c r="I223" t="s">
        <v>2570</v>
      </c>
    </row>
    <row r="224" spans="1:9">
      <c r="A224" s="5" t="s">
        <v>1712</v>
      </c>
      <c r="B224" s="5" t="s">
        <v>3543</v>
      </c>
      <c r="C224" t="s">
        <v>3544</v>
      </c>
      <c r="D224" t="s">
        <v>3545</v>
      </c>
      <c r="E224" t="s">
        <v>3545</v>
      </c>
      <c r="F224" t="s">
        <v>2887</v>
      </c>
      <c r="G224" t="s">
        <v>318</v>
      </c>
      <c r="H224" t="s">
        <v>122</v>
      </c>
      <c r="I224" t="s">
        <v>3546</v>
      </c>
    </row>
    <row r="225" spans="1:9">
      <c r="A225" s="5" t="s">
        <v>2454</v>
      </c>
      <c r="B225" s="5" t="s">
        <v>3547</v>
      </c>
      <c r="C225" t="s">
        <v>3479</v>
      </c>
      <c r="D225" t="s">
        <v>3548</v>
      </c>
      <c r="E225" t="s">
        <v>3548</v>
      </c>
      <c r="F225" t="s">
        <v>2887</v>
      </c>
      <c r="G225" t="s">
        <v>3549</v>
      </c>
      <c r="H225" t="s">
        <v>122</v>
      </c>
      <c r="I225" t="s">
        <v>3480</v>
      </c>
    </row>
    <row r="226" spans="1:9">
      <c r="A226" s="5" t="s">
        <v>2454</v>
      </c>
      <c r="B226" s="5" t="s">
        <v>3550</v>
      </c>
      <c r="C226" t="s">
        <v>3551</v>
      </c>
      <c r="D226" t="s">
        <v>3548</v>
      </c>
      <c r="E226" t="s">
        <v>3552</v>
      </c>
      <c r="F226" t="s">
        <v>2887</v>
      </c>
      <c r="G226" t="s">
        <v>3553</v>
      </c>
      <c r="H226" t="s">
        <v>122</v>
      </c>
      <c r="I226" t="s">
        <v>2653</v>
      </c>
    </row>
    <row r="227" spans="1:9">
      <c r="A227" s="5" t="s">
        <v>2454</v>
      </c>
      <c r="B227" s="5" t="s">
        <v>3554</v>
      </c>
      <c r="C227" t="s">
        <v>3555</v>
      </c>
      <c r="D227" t="s">
        <v>3548</v>
      </c>
      <c r="E227" t="s">
        <v>3556</v>
      </c>
      <c r="F227" t="s">
        <v>2891</v>
      </c>
      <c r="G227" t="s">
        <v>210</v>
      </c>
      <c r="H227" t="s">
        <v>122</v>
      </c>
      <c r="I227" t="s">
        <v>2794</v>
      </c>
    </row>
    <row r="228" spans="1:9" ht="29.1">
      <c r="A228" s="5" t="s">
        <v>1716</v>
      </c>
      <c r="B228" s="5" t="s">
        <v>1716</v>
      </c>
      <c r="C228" t="s">
        <v>3479</v>
      </c>
      <c r="D228" t="s">
        <v>3404</v>
      </c>
      <c r="E228" t="s">
        <v>3404</v>
      </c>
      <c r="F228" t="s">
        <v>2887</v>
      </c>
      <c r="G228" t="s">
        <v>376</v>
      </c>
      <c r="H228" t="s">
        <v>122</v>
      </c>
      <c r="I228" t="s">
        <v>3480</v>
      </c>
    </row>
    <row r="229" spans="1:9">
      <c r="A229" s="5" t="s">
        <v>1760</v>
      </c>
      <c r="B229" s="5" t="s">
        <v>3557</v>
      </c>
      <c r="C229" t="s">
        <v>3558</v>
      </c>
      <c r="D229" t="s">
        <v>3244</v>
      </c>
      <c r="E229" t="s">
        <v>3244</v>
      </c>
      <c r="F229" t="s">
        <v>2887</v>
      </c>
      <c r="G229" t="s">
        <v>318</v>
      </c>
      <c r="H229" t="s">
        <v>122</v>
      </c>
      <c r="I229" t="s">
        <v>3115</v>
      </c>
    </row>
    <row r="230" spans="1:9">
      <c r="A230" s="5" t="s">
        <v>1753</v>
      </c>
      <c r="B230" s="5" t="s">
        <v>3559</v>
      </c>
      <c r="C230" t="s">
        <v>3560</v>
      </c>
      <c r="D230" t="s">
        <v>3561</v>
      </c>
      <c r="E230" t="s">
        <v>3561</v>
      </c>
      <c r="F230" t="s">
        <v>2887</v>
      </c>
      <c r="G230" t="s">
        <v>424</v>
      </c>
      <c r="H230" t="s">
        <v>122</v>
      </c>
      <c r="I230" t="s">
        <v>395</v>
      </c>
    </row>
    <row r="231" spans="1:9">
      <c r="A231" s="5" t="s">
        <v>1765</v>
      </c>
      <c r="B231" s="5" t="s">
        <v>3562</v>
      </c>
      <c r="C231" t="s">
        <v>3563</v>
      </c>
      <c r="D231" t="s">
        <v>3255</v>
      </c>
      <c r="E231" t="s">
        <v>3255</v>
      </c>
      <c r="F231" t="s">
        <v>2887</v>
      </c>
      <c r="G231" t="s">
        <v>418</v>
      </c>
      <c r="H231" t="s">
        <v>122</v>
      </c>
      <c r="I231" t="s">
        <v>3564</v>
      </c>
    </row>
    <row r="232" spans="1:9">
      <c r="A232" s="5" t="s">
        <v>1776</v>
      </c>
      <c r="B232" s="5" t="s">
        <v>3565</v>
      </c>
      <c r="C232" t="s">
        <v>3566</v>
      </c>
      <c r="D232" t="s">
        <v>3567</v>
      </c>
      <c r="E232" t="s">
        <v>3567</v>
      </c>
      <c r="F232" t="s">
        <v>2887</v>
      </c>
      <c r="G232" t="s">
        <v>418</v>
      </c>
      <c r="H232" t="s">
        <v>122</v>
      </c>
      <c r="I232" t="s">
        <v>898</v>
      </c>
    </row>
    <row r="233" spans="1:9">
      <c r="A233" s="5" t="s">
        <v>1757</v>
      </c>
      <c r="B233" s="5" t="s">
        <v>3568</v>
      </c>
      <c r="C233" t="s">
        <v>3569</v>
      </c>
      <c r="D233" t="s">
        <v>3053</v>
      </c>
      <c r="E233" t="s">
        <v>3053</v>
      </c>
      <c r="F233" t="s">
        <v>2887</v>
      </c>
      <c r="G233" t="s">
        <v>418</v>
      </c>
      <c r="H233" t="s">
        <v>122</v>
      </c>
      <c r="I233" t="s">
        <v>3206</v>
      </c>
    </row>
    <row r="234" spans="1:9">
      <c r="A234" s="5" t="s">
        <v>1780</v>
      </c>
      <c r="B234" s="5" t="s">
        <v>1780</v>
      </c>
      <c r="C234" t="s">
        <v>3560</v>
      </c>
      <c r="D234" t="s">
        <v>3570</v>
      </c>
      <c r="E234" t="s">
        <v>3570</v>
      </c>
      <c r="F234" t="s">
        <v>2887</v>
      </c>
      <c r="G234" t="s">
        <v>424</v>
      </c>
      <c r="H234" t="s">
        <v>122</v>
      </c>
      <c r="I234" t="s">
        <v>395</v>
      </c>
    </row>
    <row r="235" spans="1:9">
      <c r="A235" s="5" t="s">
        <v>1786</v>
      </c>
      <c r="B235" s="5" t="s">
        <v>1790</v>
      </c>
      <c r="C235" t="s">
        <v>142</v>
      </c>
      <c r="D235" t="s">
        <v>3571</v>
      </c>
      <c r="E235" t="s">
        <v>3571</v>
      </c>
      <c r="F235" t="s">
        <v>2887</v>
      </c>
      <c r="G235" t="s">
        <v>3064</v>
      </c>
      <c r="H235" t="s">
        <v>122</v>
      </c>
      <c r="I235" t="s">
        <v>3572</v>
      </c>
    </row>
    <row r="236" spans="1:9">
      <c r="A236" s="5" t="s">
        <v>1791</v>
      </c>
      <c r="B236" s="5" t="s">
        <v>3573</v>
      </c>
      <c r="C236" t="s">
        <v>3574</v>
      </c>
      <c r="D236" t="s">
        <v>3575</v>
      </c>
      <c r="E236" t="s">
        <v>3575</v>
      </c>
      <c r="F236" t="s">
        <v>2887</v>
      </c>
      <c r="G236" t="s">
        <v>318</v>
      </c>
      <c r="H236" t="s">
        <v>122</v>
      </c>
      <c r="I236" t="s">
        <v>336</v>
      </c>
    </row>
    <row r="237" spans="1:9">
      <c r="A237" s="5" t="s">
        <v>1796</v>
      </c>
      <c r="B237" s="5" t="s">
        <v>1796</v>
      </c>
      <c r="C237" t="s">
        <v>3576</v>
      </c>
      <c r="D237" t="s">
        <v>3577</v>
      </c>
      <c r="E237" t="s">
        <v>3577</v>
      </c>
      <c r="F237" t="s">
        <v>2891</v>
      </c>
      <c r="G237" t="s">
        <v>357</v>
      </c>
      <c r="H237" t="s">
        <v>122</v>
      </c>
      <c r="I237" t="s">
        <v>334</v>
      </c>
    </row>
    <row r="238" spans="1:9">
      <c r="A238" s="5" t="s">
        <v>1803</v>
      </c>
      <c r="B238" s="5" t="s">
        <v>3578</v>
      </c>
      <c r="C238" t="s">
        <v>3579</v>
      </c>
      <c r="D238" t="s">
        <v>2911</v>
      </c>
      <c r="E238" t="s">
        <v>2911</v>
      </c>
      <c r="F238" t="s">
        <v>2887</v>
      </c>
      <c r="G238" t="s">
        <v>3064</v>
      </c>
      <c r="H238" t="s">
        <v>122</v>
      </c>
      <c r="I238" t="s">
        <v>3198</v>
      </c>
    </row>
    <row r="239" spans="1:9" ht="29.1">
      <c r="A239" s="5" t="s">
        <v>1805</v>
      </c>
      <c r="B239" s="5" t="s">
        <v>1805</v>
      </c>
      <c r="C239" t="s">
        <v>3580</v>
      </c>
      <c r="D239" t="s">
        <v>2949</v>
      </c>
      <c r="E239" t="s">
        <v>2949</v>
      </c>
      <c r="F239" t="s">
        <v>2891</v>
      </c>
      <c r="G239" t="s">
        <v>3581</v>
      </c>
      <c r="H239" t="s">
        <v>122</v>
      </c>
      <c r="I239" t="s">
        <v>2207</v>
      </c>
    </row>
    <row r="240" spans="1:9">
      <c r="A240" s="5" t="s">
        <v>1734</v>
      </c>
      <c r="B240" s="5" t="s">
        <v>3582</v>
      </c>
      <c r="C240" t="s">
        <v>3583</v>
      </c>
      <c r="D240" t="s">
        <v>3361</v>
      </c>
      <c r="E240" t="s">
        <v>3361</v>
      </c>
      <c r="F240" t="s">
        <v>2891</v>
      </c>
      <c r="G240" t="s">
        <v>357</v>
      </c>
      <c r="H240" t="s">
        <v>122</v>
      </c>
      <c r="I240" t="s">
        <v>3360</v>
      </c>
    </row>
    <row r="241" spans="1:9" ht="29.1">
      <c r="A241" s="5" t="s">
        <v>1815</v>
      </c>
      <c r="B241" s="5" t="s">
        <v>3584</v>
      </c>
      <c r="C241" t="s">
        <v>3585</v>
      </c>
      <c r="D241" t="s">
        <v>3313</v>
      </c>
      <c r="E241" t="s">
        <v>3313</v>
      </c>
      <c r="F241" t="s">
        <v>2891</v>
      </c>
      <c r="G241" t="s">
        <v>328</v>
      </c>
      <c r="H241" t="s">
        <v>122</v>
      </c>
      <c r="I241" t="s">
        <v>2931</v>
      </c>
    </row>
    <row r="242" spans="1:9" ht="29.1">
      <c r="A242" s="5" t="s">
        <v>1815</v>
      </c>
      <c r="B242" s="5" t="s">
        <v>3586</v>
      </c>
      <c r="C242" t="s">
        <v>3587</v>
      </c>
      <c r="D242" t="s">
        <v>3313</v>
      </c>
      <c r="E242" t="s">
        <v>3313</v>
      </c>
      <c r="F242" t="s">
        <v>2891</v>
      </c>
      <c r="G242" t="s">
        <v>328</v>
      </c>
      <c r="H242" t="s">
        <v>122</v>
      </c>
      <c r="I242" t="s">
        <v>2931</v>
      </c>
    </row>
    <row r="243" spans="1:9">
      <c r="A243" s="5" t="s">
        <v>1571</v>
      </c>
      <c r="B243" s="5" t="s">
        <v>3588</v>
      </c>
      <c r="C243" t="s">
        <v>3589</v>
      </c>
      <c r="D243" t="s">
        <v>3590</v>
      </c>
      <c r="E243" t="s">
        <v>3591</v>
      </c>
      <c r="F243" t="s">
        <v>2887</v>
      </c>
      <c r="G243" t="s">
        <v>308</v>
      </c>
      <c r="H243" t="s">
        <v>122</v>
      </c>
      <c r="I243" t="s">
        <v>3592</v>
      </c>
    </row>
    <row r="244" spans="1:9">
      <c r="A244" s="5" t="s">
        <v>1826</v>
      </c>
      <c r="B244" s="5" t="s">
        <v>3593</v>
      </c>
      <c r="C244" t="s">
        <v>3594</v>
      </c>
      <c r="D244" t="s">
        <v>3595</v>
      </c>
      <c r="E244" t="s">
        <v>3595</v>
      </c>
      <c r="F244" t="s">
        <v>2887</v>
      </c>
      <c r="G244" t="s">
        <v>3596</v>
      </c>
      <c r="H244" t="s">
        <v>122</v>
      </c>
      <c r="I244" t="s">
        <v>3471</v>
      </c>
    </row>
    <row r="245" spans="1:9" ht="29.1">
      <c r="A245" s="5" t="s">
        <v>1832</v>
      </c>
      <c r="B245" s="5" t="s">
        <v>3597</v>
      </c>
      <c r="C245" t="s">
        <v>3598</v>
      </c>
      <c r="D245" t="s">
        <v>3599</v>
      </c>
      <c r="E245" t="s">
        <v>3599</v>
      </c>
      <c r="F245" t="s">
        <v>2887</v>
      </c>
      <c r="G245" t="s">
        <v>318</v>
      </c>
      <c r="H245" t="s">
        <v>122</v>
      </c>
      <c r="I245" t="s">
        <v>3600</v>
      </c>
    </row>
    <row r="246" spans="1:9">
      <c r="A246" s="5" t="s">
        <v>1835</v>
      </c>
      <c r="B246" s="5" t="s">
        <v>3601</v>
      </c>
      <c r="C246" t="s">
        <v>3602</v>
      </c>
      <c r="D246" t="s">
        <v>3002</v>
      </c>
      <c r="E246" t="s">
        <v>3002</v>
      </c>
      <c r="F246" t="s">
        <v>2887</v>
      </c>
      <c r="G246" t="s">
        <v>318</v>
      </c>
      <c r="H246" t="s">
        <v>122</v>
      </c>
      <c r="I246" t="s">
        <v>3603</v>
      </c>
    </row>
    <row r="247" spans="1:9">
      <c r="A247" s="5" t="s">
        <v>377</v>
      </c>
      <c r="B247" s="5" t="s">
        <v>3604</v>
      </c>
      <c r="C247" t="s">
        <v>3605</v>
      </c>
      <c r="D247" t="s">
        <v>2911</v>
      </c>
      <c r="E247" t="s">
        <v>2911</v>
      </c>
      <c r="F247" t="s">
        <v>2887</v>
      </c>
      <c r="G247" t="s">
        <v>210</v>
      </c>
      <c r="H247" t="s">
        <v>122</v>
      </c>
      <c r="I247" t="s">
        <v>3606</v>
      </c>
    </row>
    <row r="248" spans="1:9" ht="29.1">
      <c r="A248" s="5" t="s">
        <v>1855</v>
      </c>
      <c r="B248" s="5" t="s">
        <v>3607</v>
      </c>
      <c r="C248" t="s">
        <v>3608</v>
      </c>
      <c r="D248" t="s">
        <v>3411</v>
      </c>
      <c r="E248" t="s">
        <v>3029</v>
      </c>
      <c r="F248" t="s">
        <v>2891</v>
      </c>
      <c r="G248" t="s">
        <v>328</v>
      </c>
      <c r="H248" t="s">
        <v>122</v>
      </c>
      <c r="I248" t="s">
        <v>3609</v>
      </c>
    </row>
    <row r="249" spans="1:9">
      <c r="A249" s="5" t="s">
        <v>1858</v>
      </c>
      <c r="B249" s="5" t="s">
        <v>3610</v>
      </c>
      <c r="C249" t="s">
        <v>3611</v>
      </c>
      <c r="D249" t="s">
        <v>3612</v>
      </c>
      <c r="E249" t="s">
        <v>3612</v>
      </c>
      <c r="F249" t="s">
        <v>2891</v>
      </c>
      <c r="G249" t="s">
        <v>357</v>
      </c>
      <c r="H249" t="s">
        <v>122</v>
      </c>
      <c r="I249" t="s">
        <v>2931</v>
      </c>
    </row>
    <row r="250" spans="1:9">
      <c r="A250" s="5" t="s">
        <v>1864</v>
      </c>
      <c r="B250" s="5" t="s">
        <v>3613</v>
      </c>
      <c r="C250" t="s">
        <v>3614</v>
      </c>
      <c r="D250" t="s">
        <v>2995</v>
      </c>
      <c r="E250" t="s">
        <v>2995</v>
      </c>
      <c r="F250" t="s">
        <v>2887</v>
      </c>
      <c r="G250" t="s">
        <v>424</v>
      </c>
      <c r="H250" t="s">
        <v>122</v>
      </c>
      <c r="I250" t="s">
        <v>3615</v>
      </c>
    </row>
    <row r="251" spans="1:9">
      <c r="A251" s="5" t="s">
        <v>1868</v>
      </c>
      <c r="B251" s="5" t="s">
        <v>3616</v>
      </c>
      <c r="C251" t="s">
        <v>3617</v>
      </c>
      <c r="D251" t="s">
        <v>3618</v>
      </c>
      <c r="E251" t="s">
        <v>3619</v>
      </c>
      <c r="F251" t="s">
        <v>2887</v>
      </c>
      <c r="G251" t="s">
        <v>424</v>
      </c>
      <c r="H251" t="s">
        <v>122</v>
      </c>
      <c r="I251" t="s">
        <v>1567</v>
      </c>
    </row>
    <row r="252" spans="1:9">
      <c r="A252" s="5" t="s">
        <v>1873</v>
      </c>
      <c r="B252" s="5" t="s">
        <v>1873</v>
      </c>
      <c r="C252" t="s">
        <v>3617</v>
      </c>
      <c r="D252" t="s">
        <v>3618</v>
      </c>
      <c r="E252" t="s">
        <v>3618</v>
      </c>
      <c r="F252" t="s">
        <v>2887</v>
      </c>
      <c r="G252" t="s">
        <v>424</v>
      </c>
      <c r="H252" t="s">
        <v>122</v>
      </c>
      <c r="I252" t="s">
        <v>1567</v>
      </c>
    </row>
    <row r="253" spans="1:9">
      <c r="A253" s="5" t="s">
        <v>327</v>
      </c>
      <c r="B253" s="5" t="s">
        <v>3620</v>
      </c>
      <c r="C253" t="s">
        <v>3621</v>
      </c>
      <c r="D253" t="s">
        <v>327</v>
      </c>
      <c r="E253" t="s">
        <v>2911</v>
      </c>
      <c r="F253" t="s">
        <v>2891</v>
      </c>
      <c r="G253" t="s">
        <v>328</v>
      </c>
      <c r="H253" t="s">
        <v>122</v>
      </c>
      <c r="I253" t="s">
        <v>2990</v>
      </c>
    </row>
    <row r="254" spans="1:9">
      <c r="A254" s="5" t="s">
        <v>1887</v>
      </c>
      <c r="B254" s="5" t="s">
        <v>3622</v>
      </c>
      <c r="C254" t="s">
        <v>3623</v>
      </c>
      <c r="D254" t="s">
        <v>3624</v>
      </c>
      <c r="E254" t="s">
        <v>3624</v>
      </c>
      <c r="F254" t="s">
        <v>2887</v>
      </c>
      <c r="G254" t="s">
        <v>308</v>
      </c>
      <c r="H254" t="s">
        <v>122</v>
      </c>
      <c r="I254" t="s">
        <v>2617</v>
      </c>
    </row>
    <row r="255" spans="1:9" ht="29.1">
      <c r="A255" s="5" t="s">
        <v>979</v>
      </c>
      <c r="B255" s="5" t="s">
        <v>3625</v>
      </c>
      <c r="C255" t="s">
        <v>3626</v>
      </c>
      <c r="D255" t="s">
        <v>2914</v>
      </c>
      <c r="E255" t="s">
        <v>2914</v>
      </c>
      <c r="F255" t="s">
        <v>2891</v>
      </c>
      <c r="G255" t="s">
        <v>308</v>
      </c>
      <c r="H255" t="s">
        <v>122</v>
      </c>
      <c r="I255" t="s">
        <v>1425</v>
      </c>
    </row>
    <row r="256" spans="1:9">
      <c r="A256" s="5" t="s">
        <v>1912</v>
      </c>
      <c r="B256" s="5" t="s">
        <v>1912</v>
      </c>
      <c r="C256" t="s">
        <v>3627</v>
      </c>
      <c r="D256" t="s">
        <v>3255</v>
      </c>
      <c r="E256" t="s">
        <v>3255</v>
      </c>
      <c r="F256" t="s">
        <v>2887</v>
      </c>
      <c r="G256" t="s">
        <v>318</v>
      </c>
      <c r="H256" t="s">
        <v>122</v>
      </c>
      <c r="I256" t="s">
        <v>3628</v>
      </c>
    </row>
    <row r="257" spans="1:9">
      <c r="A257" s="5" t="s">
        <v>1914</v>
      </c>
      <c r="B257" s="5" t="s">
        <v>3629</v>
      </c>
      <c r="C257" t="s">
        <v>3630</v>
      </c>
      <c r="D257" t="s">
        <v>3631</v>
      </c>
      <c r="E257" t="s">
        <v>3631</v>
      </c>
      <c r="F257" t="s">
        <v>2887</v>
      </c>
      <c r="G257" t="s">
        <v>318</v>
      </c>
      <c r="H257" t="s">
        <v>122</v>
      </c>
      <c r="I257" t="s">
        <v>395</v>
      </c>
    </row>
    <row r="258" spans="1:9">
      <c r="A258" s="5" t="s">
        <v>1919</v>
      </c>
      <c r="B258" s="5" t="s">
        <v>3632</v>
      </c>
      <c r="C258" t="s">
        <v>3633</v>
      </c>
      <c r="D258" t="s">
        <v>3259</v>
      </c>
      <c r="E258" t="s">
        <v>3259</v>
      </c>
      <c r="F258" t="s">
        <v>2887</v>
      </c>
      <c r="G258" t="s">
        <v>318</v>
      </c>
      <c r="H258" t="s">
        <v>122</v>
      </c>
      <c r="I258" t="s">
        <v>3634</v>
      </c>
    </row>
    <row r="259" spans="1:9">
      <c r="A259" s="5" t="s">
        <v>1934</v>
      </c>
      <c r="B259" s="5" t="s">
        <v>3635</v>
      </c>
      <c r="C259" t="s">
        <v>3636</v>
      </c>
      <c r="D259" t="s">
        <v>3637</v>
      </c>
      <c r="E259" t="s">
        <v>3637</v>
      </c>
      <c r="F259" t="s">
        <v>2887</v>
      </c>
      <c r="G259" t="s">
        <v>308</v>
      </c>
      <c r="H259" t="s">
        <v>122</v>
      </c>
      <c r="I259" t="s">
        <v>3638</v>
      </c>
    </row>
    <row r="260" spans="1:9">
      <c r="A260" s="5" t="s">
        <v>1931</v>
      </c>
      <c r="B260" s="5" t="s">
        <v>3639</v>
      </c>
      <c r="C260" t="s">
        <v>3640</v>
      </c>
      <c r="D260" t="s">
        <v>3255</v>
      </c>
      <c r="E260" t="s">
        <v>3255</v>
      </c>
      <c r="F260" t="s">
        <v>2887</v>
      </c>
      <c r="G260" t="s">
        <v>318</v>
      </c>
      <c r="H260" t="s">
        <v>122</v>
      </c>
      <c r="I260" t="s">
        <v>3641</v>
      </c>
    </row>
    <row r="261" spans="1:9">
      <c r="A261" s="5" t="s">
        <v>1480</v>
      </c>
      <c r="B261" s="5" t="s">
        <v>1480</v>
      </c>
      <c r="C261" t="s">
        <v>3479</v>
      </c>
      <c r="D261" t="s">
        <v>3642</v>
      </c>
      <c r="E261" t="s">
        <v>3642</v>
      </c>
      <c r="F261" t="s">
        <v>2887</v>
      </c>
      <c r="G261" t="s">
        <v>318</v>
      </c>
      <c r="H261" t="s">
        <v>122</v>
      </c>
      <c r="I261" t="s">
        <v>3480</v>
      </c>
    </row>
    <row r="262" spans="1:9">
      <c r="A262" s="5" t="s">
        <v>1942</v>
      </c>
      <c r="B262" s="5" t="s">
        <v>3643</v>
      </c>
      <c r="C262" t="s">
        <v>3644</v>
      </c>
      <c r="D262" t="s">
        <v>3300</v>
      </c>
      <c r="E262" t="s">
        <v>3300</v>
      </c>
      <c r="F262" t="s">
        <v>2891</v>
      </c>
      <c r="G262" t="s">
        <v>357</v>
      </c>
      <c r="H262" t="s">
        <v>122</v>
      </c>
      <c r="I262" t="s">
        <v>3645</v>
      </c>
    </row>
    <row r="263" spans="1:9">
      <c r="A263" s="5" t="s">
        <v>1953</v>
      </c>
      <c r="B263" s="5" t="s">
        <v>1953</v>
      </c>
      <c r="C263" t="s">
        <v>3110</v>
      </c>
      <c r="D263" t="s">
        <v>2930</v>
      </c>
      <c r="E263" t="s">
        <v>2930</v>
      </c>
      <c r="F263" t="s">
        <v>2887</v>
      </c>
      <c r="G263" t="s">
        <v>318</v>
      </c>
      <c r="H263" t="s">
        <v>122</v>
      </c>
      <c r="I263" t="s">
        <v>3111</v>
      </c>
    </row>
    <row r="264" spans="1:9">
      <c r="A264" s="5" t="s">
        <v>1531</v>
      </c>
      <c r="B264" s="5" t="s">
        <v>3646</v>
      </c>
      <c r="C264" t="s">
        <v>3647</v>
      </c>
      <c r="D264" t="s">
        <v>3648</v>
      </c>
      <c r="E264" t="s">
        <v>3648</v>
      </c>
      <c r="F264" t="s">
        <v>2891</v>
      </c>
      <c r="G264" t="s">
        <v>357</v>
      </c>
      <c r="H264" t="s">
        <v>122</v>
      </c>
      <c r="I264" t="s">
        <v>2921</v>
      </c>
    </row>
    <row r="265" spans="1:9">
      <c r="A265" s="5" t="s">
        <v>1904</v>
      </c>
      <c r="B265" s="5" t="s">
        <v>1904</v>
      </c>
      <c r="C265" t="s">
        <v>3649</v>
      </c>
      <c r="D265" t="s">
        <v>3650</v>
      </c>
      <c r="E265" t="s">
        <v>3650</v>
      </c>
      <c r="F265" t="s">
        <v>2887</v>
      </c>
      <c r="G265" t="s">
        <v>424</v>
      </c>
      <c r="H265" t="s">
        <v>122</v>
      </c>
      <c r="I265" t="s">
        <v>3405</v>
      </c>
    </row>
    <row r="266" spans="1:9" ht="29.1">
      <c r="A266" s="5" t="s">
        <v>1959</v>
      </c>
      <c r="B266" s="5" t="s">
        <v>3651</v>
      </c>
      <c r="C266" t="s">
        <v>3652</v>
      </c>
      <c r="D266" t="s">
        <v>2957</v>
      </c>
      <c r="E266" t="s">
        <v>2957</v>
      </c>
      <c r="F266" t="s">
        <v>2891</v>
      </c>
      <c r="G266" t="s">
        <v>328</v>
      </c>
      <c r="H266" t="s">
        <v>122</v>
      </c>
      <c r="I266" t="s">
        <v>2931</v>
      </c>
    </row>
    <row r="267" spans="1:9">
      <c r="A267" s="5" t="s">
        <v>1972</v>
      </c>
      <c r="B267" s="5" t="s">
        <v>3653</v>
      </c>
      <c r="C267" t="s">
        <v>3654</v>
      </c>
      <c r="D267" t="s">
        <v>3655</v>
      </c>
      <c r="E267" t="s">
        <v>3655</v>
      </c>
      <c r="F267" t="s">
        <v>2891</v>
      </c>
      <c r="G267" t="s">
        <v>357</v>
      </c>
      <c r="H267" t="s">
        <v>122</v>
      </c>
      <c r="I267" t="s">
        <v>2931</v>
      </c>
    </row>
    <row r="268" spans="1:9" ht="29.1">
      <c r="A268" s="5" t="s">
        <v>2591</v>
      </c>
      <c r="B268" s="5" t="s">
        <v>3656</v>
      </c>
      <c r="C268" t="s">
        <v>3657</v>
      </c>
      <c r="D268" t="s">
        <v>3300</v>
      </c>
      <c r="E268" t="s">
        <v>3300</v>
      </c>
      <c r="F268" t="s">
        <v>2891</v>
      </c>
      <c r="G268" t="s">
        <v>357</v>
      </c>
      <c r="H268" t="s">
        <v>122</v>
      </c>
      <c r="I268" t="s">
        <v>3658</v>
      </c>
    </row>
    <row r="269" spans="1:9">
      <c r="A269" s="5" t="s">
        <v>580</v>
      </c>
      <c r="B269" s="5" t="s">
        <v>3659</v>
      </c>
      <c r="C269" t="s">
        <v>3660</v>
      </c>
      <c r="D269" t="s">
        <v>2930</v>
      </c>
      <c r="E269" t="s">
        <v>2930</v>
      </c>
      <c r="F269" t="s">
        <v>2891</v>
      </c>
      <c r="G269" t="s">
        <v>424</v>
      </c>
      <c r="H269" t="s">
        <v>122</v>
      </c>
      <c r="I269" t="s">
        <v>581</v>
      </c>
    </row>
    <row r="270" spans="1:9" ht="29.1">
      <c r="A270" s="5" t="s">
        <v>1996</v>
      </c>
      <c r="B270" s="5" t="s">
        <v>3661</v>
      </c>
      <c r="C270" t="s">
        <v>3662</v>
      </c>
      <c r="D270" t="s">
        <v>3663</v>
      </c>
      <c r="E270" t="s">
        <v>3663</v>
      </c>
      <c r="F270" t="s">
        <v>2891</v>
      </c>
      <c r="G270" t="s">
        <v>357</v>
      </c>
      <c r="H270" t="s">
        <v>122</v>
      </c>
      <c r="I270" t="s">
        <v>3664</v>
      </c>
    </row>
    <row r="271" spans="1:9">
      <c r="A271" s="5" t="s">
        <v>2004</v>
      </c>
      <c r="B271" s="5" t="s">
        <v>2004</v>
      </c>
      <c r="C271" t="s">
        <v>3665</v>
      </c>
      <c r="D271" t="s">
        <v>3007</v>
      </c>
      <c r="E271" t="s">
        <v>3007</v>
      </c>
      <c r="F271" t="s">
        <v>2891</v>
      </c>
      <c r="G271" t="s">
        <v>424</v>
      </c>
      <c r="H271" t="s">
        <v>122</v>
      </c>
      <c r="I271" t="s">
        <v>931</v>
      </c>
    </row>
    <row r="272" spans="1:9" ht="29.1">
      <c r="A272" s="5" t="s">
        <v>2006</v>
      </c>
      <c r="B272" s="5" t="s">
        <v>3666</v>
      </c>
      <c r="C272" t="s">
        <v>3667</v>
      </c>
      <c r="D272" t="s">
        <v>2957</v>
      </c>
      <c r="E272" t="s">
        <v>2957</v>
      </c>
      <c r="F272" t="s">
        <v>2891</v>
      </c>
      <c r="G272" t="s">
        <v>328</v>
      </c>
      <c r="H272" t="s">
        <v>122</v>
      </c>
      <c r="I272" t="s">
        <v>2555</v>
      </c>
    </row>
    <row r="273" spans="1:9" ht="29.1">
      <c r="A273" s="5" t="s">
        <v>2009</v>
      </c>
      <c r="B273" s="5" t="s">
        <v>3668</v>
      </c>
      <c r="C273" t="s">
        <v>3669</v>
      </c>
      <c r="D273" t="s">
        <v>3670</v>
      </c>
      <c r="E273" t="s">
        <v>3670</v>
      </c>
      <c r="F273" t="s">
        <v>2891</v>
      </c>
      <c r="G273" t="s">
        <v>328</v>
      </c>
      <c r="H273" t="s">
        <v>122</v>
      </c>
      <c r="I273" t="s">
        <v>3671</v>
      </c>
    </row>
    <row r="274" spans="1:9">
      <c r="A274" s="5" t="s">
        <v>2019</v>
      </c>
      <c r="B274" s="5" t="s">
        <v>3672</v>
      </c>
      <c r="C274" t="s">
        <v>3673</v>
      </c>
      <c r="D274" t="s">
        <v>2930</v>
      </c>
      <c r="E274" t="s">
        <v>2930</v>
      </c>
      <c r="F274" t="s">
        <v>2887</v>
      </c>
      <c r="G274" t="s">
        <v>357</v>
      </c>
      <c r="H274" t="s">
        <v>122</v>
      </c>
      <c r="I274" t="s">
        <v>3674</v>
      </c>
    </row>
    <row r="275" spans="1:9">
      <c r="A275" s="5" t="s">
        <v>2021</v>
      </c>
      <c r="B275" s="5" t="s">
        <v>3675</v>
      </c>
      <c r="C275" t="s">
        <v>3676</v>
      </c>
      <c r="D275" t="s">
        <v>3300</v>
      </c>
      <c r="E275" t="s">
        <v>3300</v>
      </c>
      <c r="F275" t="s">
        <v>2891</v>
      </c>
      <c r="G275" t="s">
        <v>357</v>
      </c>
      <c r="H275" t="s">
        <v>122</v>
      </c>
      <c r="I275" t="s">
        <v>3677</v>
      </c>
    </row>
    <row r="276" spans="1:9">
      <c r="A276" s="5" t="s">
        <v>2072</v>
      </c>
      <c r="B276" s="5" t="s">
        <v>3678</v>
      </c>
      <c r="C276" t="s">
        <v>3679</v>
      </c>
      <c r="D276" t="s">
        <v>3680</v>
      </c>
      <c r="E276" t="s">
        <v>3680</v>
      </c>
      <c r="F276" t="s">
        <v>2887</v>
      </c>
      <c r="G276" t="s">
        <v>210</v>
      </c>
      <c r="H276" t="s">
        <v>122</v>
      </c>
      <c r="I276" t="s">
        <v>3681</v>
      </c>
    </row>
    <row r="277" spans="1:9">
      <c r="A277" s="5" t="s">
        <v>2413</v>
      </c>
      <c r="B277" s="5" t="s">
        <v>3682</v>
      </c>
      <c r="C277" t="s">
        <v>3683</v>
      </c>
      <c r="D277" t="s">
        <v>3684</v>
      </c>
      <c r="E277" t="s">
        <v>3684</v>
      </c>
      <c r="F277" t="s">
        <v>2887</v>
      </c>
      <c r="G277" t="s">
        <v>318</v>
      </c>
      <c r="H277" t="s">
        <v>122</v>
      </c>
      <c r="I277" t="s">
        <v>3677</v>
      </c>
    </row>
    <row r="278" spans="1:9" ht="29.1">
      <c r="A278" s="5" t="s">
        <v>2418</v>
      </c>
      <c r="B278" s="5" t="s">
        <v>3685</v>
      </c>
      <c r="C278" t="s">
        <v>3686</v>
      </c>
      <c r="D278" t="s">
        <v>3687</v>
      </c>
      <c r="E278" t="s">
        <v>3687</v>
      </c>
      <c r="F278" t="s">
        <v>2887</v>
      </c>
      <c r="G278" t="s">
        <v>318</v>
      </c>
      <c r="H278" t="s">
        <v>122</v>
      </c>
      <c r="I278" t="s">
        <v>3688</v>
      </c>
    </row>
    <row r="279" spans="1:9" ht="29.1">
      <c r="A279" s="5" t="s">
        <v>2423</v>
      </c>
      <c r="B279" s="5" t="s">
        <v>3689</v>
      </c>
      <c r="C279" t="s">
        <v>3690</v>
      </c>
      <c r="D279" t="s">
        <v>2930</v>
      </c>
      <c r="E279" t="s">
        <v>2930</v>
      </c>
      <c r="F279" t="s">
        <v>2887</v>
      </c>
      <c r="G279" t="s">
        <v>318</v>
      </c>
      <c r="H279" t="s">
        <v>122</v>
      </c>
      <c r="I279" t="s">
        <v>3691</v>
      </c>
    </row>
    <row r="280" spans="1:9">
      <c r="A280" s="5" t="s">
        <v>2435</v>
      </c>
      <c r="B280" s="5" t="s">
        <v>3692</v>
      </c>
      <c r="C280" t="s">
        <v>3693</v>
      </c>
      <c r="D280" t="s">
        <v>3694</v>
      </c>
      <c r="E280" t="s">
        <v>3695</v>
      </c>
      <c r="F280" t="s">
        <v>2891</v>
      </c>
      <c r="G280" t="s">
        <v>357</v>
      </c>
      <c r="H280" t="s">
        <v>122</v>
      </c>
      <c r="I280" t="s">
        <v>3696</v>
      </c>
    </row>
    <row r="281" spans="1:9">
      <c r="A281" s="5" t="s">
        <v>2435</v>
      </c>
      <c r="B281" s="5" t="s">
        <v>3692</v>
      </c>
      <c r="C281" t="s">
        <v>3697</v>
      </c>
      <c r="D281" t="s">
        <v>3694</v>
      </c>
      <c r="E281" t="s">
        <v>3163</v>
      </c>
      <c r="F281" t="s">
        <v>2891</v>
      </c>
      <c r="G281" t="s">
        <v>357</v>
      </c>
      <c r="H281" t="s">
        <v>122</v>
      </c>
      <c r="I281" t="s">
        <v>2990</v>
      </c>
    </row>
    <row r="282" spans="1:9">
      <c r="A282" s="5" t="s">
        <v>2439</v>
      </c>
      <c r="B282" s="5" t="s">
        <v>3698</v>
      </c>
      <c r="C282" t="s">
        <v>3699</v>
      </c>
      <c r="D282" t="s">
        <v>3053</v>
      </c>
      <c r="E282" t="s">
        <v>3053</v>
      </c>
      <c r="F282" t="s">
        <v>2891</v>
      </c>
      <c r="G282" t="s">
        <v>328</v>
      </c>
      <c r="H282" t="s">
        <v>122</v>
      </c>
      <c r="I282" t="s">
        <v>3700</v>
      </c>
    </row>
    <row r="283" spans="1:9">
      <c r="A283" s="5" t="s">
        <v>2445</v>
      </c>
      <c r="B283" s="5" t="s">
        <v>3701</v>
      </c>
      <c r="C283" t="s">
        <v>3702</v>
      </c>
      <c r="D283" t="s">
        <v>3703</v>
      </c>
      <c r="E283" t="s">
        <v>2934</v>
      </c>
      <c r="F283" t="s">
        <v>2891</v>
      </c>
      <c r="G283" t="s">
        <v>424</v>
      </c>
      <c r="H283" t="s">
        <v>122</v>
      </c>
      <c r="I283" t="s">
        <v>3704</v>
      </c>
    </row>
    <row r="284" spans="1:9">
      <c r="A284" s="5" t="s">
        <v>2453</v>
      </c>
      <c r="B284" s="5" t="s">
        <v>2453</v>
      </c>
      <c r="C284" t="s">
        <v>3705</v>
      </c>
      <c r="D284" t="s">
        <v>3240</v>
      </c>
      <c r="E284" t="s">
        <v>3240</v>
      </c>
      <c r="F284" t="s">
        <v>2891</v>
      </c>
      <c r="G284" t="s">
        <v>424</v>
      </c>
      <c r="H284" t="s">
        <v>122</v>
      </c>
      <c r="I284" t="s">
        <v>1597</v>
      </c>
    </row>
    <row r="285" spans="1:9">
      <c r="A285" s="5" t="s">
        <v>2453</v>
      </c>
      <c r="B285" s="5" t="s">
        <v>3706</v>
      </c>
      <c r="C285" t="s">
        <v>3707</v>
      </c>
      <c r="D285" t="s">
        <v>3240</v>
      </c>
      <c r="E285" t="s">
        <v>3240</v>
      </c>
      <c r="F285" t="s">
        <v>2891</v>
      </c>
      <c r="G285" t="s">
        <v>424</v>
      </c>
      <c r="H285" t="s">
        <v>122</v>
      </c>
      <c r="I285" t="s">
        <v>3708</v>
      </c>
    </row>
    <row r="286" spans="1:9">
      <c r="A286" s="5" t="s">
        <v>990</v>
      </c>
      <c r="B286" s="5" t="s">
        <v>3709</v>
      </c>
      <c r="C286" t="s">
        <v>3710</v>
      </c>
      <c r="D286" t="s">
        <v>3029</v>
      </c>
      <c r="E286" t="s">
        <v>3029</v>
      </c>
      <c r="F286" t="s">
        <v>2891</v>
      </c>
      <c r="G286" t="s">
        <v>328</v>
      </c>
      <c r="H286" t="s">
        <v>122</v>
      </c>
      <c r="I286" t="s">
        <v>3711</v>
      </c>
    </row>
    <row r="287" spans="1:9">
      <c r="A287" s="5" t="s">
        <v>2461</v>
      </c>
      <c r="B287" s="5" t="s">
        <v>3712</v>
      </c>
      <c r="C287" t="s">
        <v>3713</v>
      </c>
      <c r="D287" t="s">
        <v>3714</v>
      </c>
      <c r="E287" t="s">
        <v>3714</v>
      </c>
      <c r="F287" t="s">
        <v>2887</v>
      </c>
      <c r="G287" t="s">
        <v>318</v>
      </c>
      <c r="H287" t="s">
        <v>122</v>
      </c>
      <c r="I287" t="s">
        <v>1921</v>
      </c>
    </row>
    <row r="288" spans="1:9">
      <c r="A288" s="5" t="s">
        <v>2466</v>
      </c>
      <c r="B288" s="5" t="s">
        <v>3715</v>
      </c>
      <c r="C288" t="s">
        <v>3716</v>
      </c>
      <c r="D288" t="s">
        <v>3717</v>
      </c>
      <c r="E288" t="s">
        <v>3717</v>
      </c>
      <c r="F288" t="s">
        <v>2891</v>
      </c>
      <c r="G288" t="s">
        <v>424</v>
      </c>
      <c r="H288" t="s">
        <v>122</v>
      </c>
      <c r="I288" t="s">
        <v>2931</v>
      </c>
    </row>
    <row r="289" spans="1:9">
      <c r="A289" s="5" t="s">
        <v>1986</v>
      </c>
      <c r="B289" s="5" t="s">
        <v>3718</v>
      </c>
      <c r="C289" t="s">
        <v>3719</v>
      </c>
      <c r="D289" t="s">
        <v>3720</v>
      </c>
      <c r="E289" t="s">
        <v>3721</v>
      </c>
      <c r="F289" t="s">
        <v>2891</v>
      </c>
      <c r="G289" t="s">
        <v>357</v>
      </c>
      <c r="H289" t="s">
        <v>122</v>
      </c>
      <c r="I289" t="s">
        <v>2931</v>
      </c>
    </row>
    <row r="290" spans="1:9">
      <c r="A290" s="5" t="s">
        <v>2470</v>
      </c>
      <c r="B290" s="5" t="s">
        <v>3722</v>
      </c>
      <c r="C290" t="s">
        <v>3723</v>
      </c>
      <c r="D290" t="s">
        <v>3724</v>
      </c>
      <c r="E290" t="s">
        <v>3724</v>
      </c>
      <c r="F290" t="s">
        <v>2887</v>
      </c>
      <c r="G290" t="s">
        <v>424</v>
      </c>
      <c r="H290" t="s">
        <v>122</v>
      </c>
      <c r="I290" t="s">
        <v>3725</v>
      </c>
    </row>
    <row r="291" spans="1:9">
      <c r="A291" s="5" t="s">
        <v>2472</v>
      </c>
      <c r="B291" s="5" t="s">
        <v>3726</v>
      </c>
      <c r="C291" t="s">
        <v>3727</v>
      </c>
      <c r="D291" t="s">
        <v>3300</v>
      </c>
      <c r="E291" t="s">
        <v>3300</v>
      </c>
      <c r="F291" t="s">
        <v>2887</v>
      </c>
      <c r="G291" t="s">
        <v>357</v>
      </c>
      <c r="H291" t="s">
        <v>122</v>
      </c>
      <c r="I291" t="s">
        <v>3728</v>
      </c>
    </row>
    <row r="292" spans="1:9">
      <c r="A292" s="5" t="s">
        <v>2001</v>
      </c>
      <c r="B292" s="5" t="s">
        <v>3729</v>
      </c>
      <c r="C292" t="s">
        <v>3730</v>
      </c>
      <c r="D292" t="s">
        <v>2949</v>
      </c>
      <c r="E292" t="s">
        <v>2949</v>
      </c>
      <c r="F292" t="s">
        <v>2891</v>
      </c>
      <c r="G292" t="s">
        <v>357</v>
      </c>
      <c r="H292" t="s">
        <v>122</v>
      </c>
      <c r="I292" t="s">
        <v>2931</v>
      </c>
    </row>
    <row r="293" spans="1:9">
      <c r="A293" s="5" t="s">
        <v>2476</v>
      </c>
      <c r="B293" s="5" t="s">
        <v>3731</v>
      </c>
      <c r="C293" t="s">
        <v>3732</v>
      </c>
      <c r="D293" t="s">
        <v>3200</v>
      </c>
      <c r="E293" t="s">
        <v>3200</v>
      </c>
      <c r="F293" t="s">
        <v>2891</v>
      </c>
      <c r="G293" t="s">
        <v>424</v>
      </c>
      <c r="H293" t="s">
        <v>122</v>
      </c>
      <c r="I293" t="s">
        <v>3733</v>
      </c>
    </row>
    <row r="294" spans="1:9">
      <c r="A294" s="5" t="s">
        <v>2479</v>
      </c>
      <c r="B294" s="5" t="s">
        <v>3734</v>
      </c>
      <c r="C294" t="s">
        <v>3735</v>
      </c>
      <c r="D294" t="s">
        <v>3736</v>
      </c>
      <c r="E294" t="s">
        <v>3736</v>
      </c>
      <c r="F294" t="s">
        <v>2887</v>
      </c>
      <c r="G294" t="s">
        <v>318</v>
      </c>
      <c r="H294" t="s">
        <v>122</v>
      </c>
      <c r="I294" t="s">
        <v>3737</v>
      </c>
    </row>
    <row r="295" spans="1:9">
      <c r="A295" s="5" t="s">
        <v>2484</v>
      </c>
      <c r="B295" s="5" t="s">
        <v>3734</v>
      </c>
      <c r="C295" t="s">
        <v>3735</v>
      </c>
      <c r="D295" t="s">
        <v>3738</v>
      </c>
      <c r="E295" t="s">
        <v>3738</v>
      </c>
      <c r="F295" t="s">
        <v>2891</v>
      </c>
      <c r="G295" t="s">
        <v>318</v>
      </c>
      <c r="H295" t="s">
        <v>122</v>
      </c>
      <c r="I295" t="s">
        <v>3737</v>
      </c>
    </row>
    <row r="296" spans="1:9">
      <c r="A296" s="5" t="s">
        <v>2488</v>
      </c>
      <c r="B296" s="5" t="s">
        <v>3739</v>
      </c>
      <c r="C296" t="s">
        <v>3735</v>
      </c>
      <c r="D296" t="s">
        <v>3740</v>
      </c>
      <c r="E296" t="s">
        <v>3740</v>
      </c>
      <c r="F296" t="s">
        <v>2887</v>
      </c>
      <c r="G296" t="s">
        <v>318</v>
      </c>
      <c r="H296" t="s">
        <v>122</v>
      </c>
      <c r="I296" t="s">
        <v>3737</v>
      </c>
    </row>
    <row r="297" spans="1:9">
      <c r="A297" s="5" t="s">
        <v>2491</v>
      </c>
      <c r="B297" s="5" t="s">
        <v>3739</v>
      </c>
      <c r="C297" t="s">
        <v>3735</v>
      </c>
      <c r="D297" t="s">
        <v>3741</v>
      </c>
      <c r="E297" t="s">
        <v>3741</v>
      </c>
      <c r="F297" t="s">
        <v>2887</v>
      </c>
      <c r="G297" t="s">
        <v>318</v>
      </c>
      <c r="H297" t="s">
        <v>122</v>
      </c>
      <c r="I297" t="s">
        <v>3737</v>
      </c>
    </row>
    <row r="298" spans="1:9">
      <c r="A298" s="5" t="s">
        <v>2494</v>
      </c>
      <c r="B298" s="5" t="s">
        <v>3742</v>
      </c>
      <c r="C298" t="s">
        <v>3743</v>
      </c>
      <c r="D298" t="s">
        <v>3744</v>
      </c>
      <c r="E298" t="s">
        <v>3744</v>
      </c>
      <c r="F298" t="s">
        <v>2887</v>
      </c>
      <c r="G298" t="s">
        <v>308</v>
      </c>
      <c r="H298" t="s">
        <v>486</v>
      </c>
      <c r="I298" t="s">
        <v>2921</v>
      </c>
    </row>
    <row r="299" spans="1:9">
      <c r="A299" s="5" t="s">
        <v>2503</v>
      </c>
      <c r="B299" s="5" t="s">
        <v>2507</v>
      </c>
      <c r="C299" t="s">
        <v>3745</v>
      </c>
      <c r="D299" t="s">
        <v>3746</v>
      </c>
      <c r="E299" t="s">
        <v>3746</v>
      </c>
      <c r="F299" t="s">
        <v>2887</v>
      </c>
      <c r="G299" t="s">
        <v>3596</v>
      </c>
      <c r="H299" t="s">
        <v>122</v>
      </c>
      <c r="I299" t="s">
        <v>1552</v>
      </c>
    </row>
    <row r="300" spans="1:9">
      <c r="A300" s="5" t="s">
        <v>2508</v>
      </c>
      <c r="B300" s="5" t="s">
        <v>3747</v>
      </c>
      <c r="C300" t="s">
        <v>3748</v>
      </c>
      <c r="D300" t="s">
        <v>2999</v>
      </c>
      <c r="E300" t="s">
        <v>2999</v>
      </c>
      <c r="F300" t="s">
        <v>2887</v>
      </c>
      <c r="G300" t="s">
        <v>418</v>
      </c>
      <c r="H300" t="s">
        <v>122</v>
      </c>
      <c r="I300" t="s">
        <v>3749</v>
      </c>
    </row>
    <row r="301" spans="1:9">
      <c r="A301" s="5" t="s">
        <v>2511</v>
      </c>
      <c r="B301" s="5" t="s">
        <v>3750</v>
      </c>
      <c r="C301" t="s">
        <v>3751</v>
      </c>
      <c r="D301" t="s">
        <v>3752</v>
      </c>
      <c r="E301" t="s">
        <v>3752</v>
      </c>
      <c r="F301" t="s">
        <v>2887</v>
      </c>
      <c r="G301" t="s">
        <v>318</v>
      </c>
      <c r="H301" t="s">
        <v>122</v>
      </c>
      <c r="I301" t="s">
        <v>1921</v>
      </c>
    </row>
    <row r="302" spans="1:9">
      <c r="A302" s="5" t="s">
        <v>2522</v>
      </c>
      <c r="B302" s="5" t="s">
        <v>2522</v>
      </c>
      <c r="C302" t="s">
        <v>3753</v>
      </c>
      <c r="D302" t="s">
        <v>3754</v>
      </c>
      <c r="E302" t="s">
        <v>3754</v>
      </c>
      <c r="F302" t="s">
        <v>2891</v>
      </c>
      <c r="G302" t="s">
        <v>424</v>
      </c>
      <c r="H302" t="s">
        <v>122</v>
      </c>
      <c r="I302" t="s">
        <v>3755</v>
      </c>
    </row>
    <row r="303" spans="1:9" ht="29.1">
      <c r="A303" s="5" t="s">
        <v>1610</v>
      </c>
      <c r="B303" s="5" t="s">
        <v>1612</v>
      </c>
      <c r="C303" t="s">
        <v>3756</v>
      </c>
      <c r="D303" t="s">
        <v>3411</v>
      </c>
      <c r="E303" t="s">
        <v>3411</v>
      </c>
      <c r="F303" t="s">
        <v>2887</v>
      </c>
      <c r="G303" t="s">
        <v>376</v>
      </c>
      <c r="H303" t="s">
        <v>122</v>
      </c>
      <c r="I303" t="s">
        <v>847</v>
      </c>
    </row>
    <row r="304" spans="1:9">
      <c r="A304" s="5" t="s">
        <v>1628</v>
      </c>
      <c r="B304" s="5" t="s">
        <v>3757</v>
      </c>
      <c r="C304" t="s">
        <v>3758</v>
      </c>
      <c r="D304" t="s">
        <v>3759</v>
      </c>
      <c r="E304" t="s">
        <v>3759</v>
      </c>
      <c r="F304" t="s">
        <v>2891</v>
      </c>
      <c r="G304" t="s">
        <v>3581</v>
      </c>
      <c r="H304" t="s">
        <v>122</v>
      </c>
      <c r="I304" t="s">
        <v>2931</v>
      </c>
    </row>
    <row r="305" spans="1:9" ht="29.1">
      <c r="A305" s="5" t="s">
        <v>2535</v>
      </c>
      <c r="B305" s="5" t="s">
        <v>3760</v>
      </c>
      <c r="C305" t="s">
        <v>3761</v>
      </c>
      <c r="D305" t="s">
        <v>3411</v>
      </c>
      <c r="E305" t="s">
        <v>3411</v>
      </c>
      <c r="F305" t="s">
        <v>2887</v>
      </c>
      <c r="G305" t="s">
        <v>376</v>
      </c>
      <c r="H305" t="s">
        <v>122</v>
      </c>
      <c r="I305" t="s">
        <v>3728</v>
      </c>
    </row>
    <row r="306" spans="1:9">
      <c r="A306" s="5" t="s">
        <v>2538</v>
      </c>
      <c r="B306" s="5" t="s">
        <v>2542</v>
      </c>
      <c r="C306" t="s">
        <v>3762</v>
      </c>
      <c r="D306" t="s">
        <v>3763</v>
      </c>
      <c r="E306" t="s">
        <v>3763</v>
      </c>
      <c r="F306" t="s">
        <v>2887</v>
      </c>
      <c r="G306" t="s">
        <v>3764</v>
      </c>
      <c r="H306" t="s">
        <v>122</v>
      </c>
      <c r="I306" t="s">
        <v>1140</v>
      </c>
    </row>
    <row r="307" spans="1:9">
      <c r="A307" s="5" t="s">
        <v>2543</v>
      </c>
      <c r="B307" s="5" t="s">
        <v>3765</v>
      </c>
      <c r="C307" t="s">
        <v>3766</v>
      </c>
      <c r="D307" t="s">
        <v>3500</v>
      </c>
      <c r="E307" t="s">
        <v>3500</v>
      </c>
      <c r="F307" t="s">
        <v>2891</v>
      </c>
      <c r="G307" t="s">
        <v>357</v>
      </c>
      <c r="H307" t="s">
        <v>122</v>
      </c>
      <c r="I307" t="s">
        <v>2990</v>
      </c>
    </row>
    <row r="308" spans="1:9">
      <c r="A308" s="5" t="s">
        <v>2546</v>
      </c>
      <c r="B308" s="5" t="s">
        <v>2546</v>
      </c>
      <c r="C308" t="s">
        <v>3071</v>
      </c>
      <c r="D308" t="s">
        <v>3575</v>
      </c>
      <c r="E308" t="s">
        <v>3575</v>
      </c>
      <c r="F308" t="s">
        <v>2887</v>
      </c>
      <c r="G308" t="s">
        <v>210</v>
      </c>
      <c r="H308" t="s">
        <v>122</v>
      </c>
      <c r="I308" t="s">
        <v>3072</v>
      </c>
    </row>
    <row r="309" spans="1:9" ht="29.1">
      <c r="A309" s="5" t="s">
        <v>2549</v>
      </c>
      <c r="B309" s="5" t="s">
        <v>3767</v>
      </c>
      <c r="C309" t="s">
        <v>3768</v>
      </c>
      <c r="D309" t="s">
        <v>2999</v>
      </c>
      <c r="E309" t="s">
        <v>2999</v>
      </c>
      <c r="F309" t="s">
        <v>2891</v>
      </c>
      <c r="G309" t="s">
        <v>507</v>
      </c>
      <c r="H309" t="s">
        <v>122</v>
      </c>
      <c r="I309" t="s">
        <v>3769</v>
      </c>
    </row>
    <row r="310" spans="1:9">
      <c r="A310" s="5" t="s">
        <v>2552</v>
      </c>
      <c r="B310" s="5" t="s">
        <v>2947</v>
      </c>
      <c r="C310" t="s">
        <v>2948</v>
      </c>
      <c r="D310" t="s">
        <v>2973</v>
      </c>
      <c r="E310" t="s">
        <v>2973</v>
      </c>
      <c r="F310" t="s">
        <v>2887</v>
      </c>
      <c r="G310" t="s">
        <v>318</v>
      </c>
      <c r="H310" t="s">
        <v>122</v>
      </c>
      <c r="I310" t="s">
        <v>2950</v>
      </c>
    </row>
    <row r="311" spans="1:9">
      <c r="A311" s="5" t="s">
        <v>2562</v>
      </c>
      <c r="B311" s="5" t="s">
        <v>2562</v>
      </c>
      <c r="C311" t="s">
        <v>3770</v>
      </c>
      <c r="D311" t="s">
        <v>3264</v>
      </c>
      <c r="E311" t="s">
        <v>3264</v>
      </c>
      <c r="F311" t="s">
        <v>2891</v>
      </c>
      <c r="G311" t="s">
        <v>357</v>
      </c>
      <c r="H311" t="s">
        <v>122</v>
      </c>
      <c r="I311" t="s">
        <v>2303</v>
      </c>
    </row>
    <row r="312" spans="1:9">
      <c r="A312" s="5" t="s">
        <v>2569</v>
      </c>
      <c r="B312" s="5" t="s">
        <v>3771</v>
      </c>
      <c r="C312" t="s">
        <v>3772</v>
      </c>
      <c r="D312" t="s">
        <v>3361</v>
      </c>
      <c r="E312" t="s">
        <v>3361</v>
      </c>
      <c r="F312" t="s">
        <v>2891</v>
      </c>
      <c r="G312" t="s">
        <v>357</v>
      </c>
      <c r="H312" t="s">
        <v>122</v>
      </c>
      <c r="I312" t="s">
        <v>3773</v>
      </c>
    </row>
    <row r="313" spans="1:9">
      <c r="A313" s="5" t="s">
        <v>2569</v>
      </c>
      <c r="B313" s="5" t="s">
        <v>3771</v>
      </c>
      <c r="C313" t="s">
        <v>3772</v>
      </c>
      <c r="D313" t="s">
        <v>3361</v>
      </c>
      <c r="E313" t="s">
        <v>3361</v>
      </c>
      <c r="F313" t="s">
        <v>2891</v>
      </c>
      <c r="G313" t="s">
        <v>357</v>
      </c>
      <c r="H313" t="s">
        <v>122</v>
      </c>
      <c r="I313" t="s">
        <v>3773</v>
      </c>
    </row>
    <row r="314" spans="1:9">
      <c r="A314" s="5" t="s">
        <v>2569</v>
      </c>
      <c r="B314" s="5" t="s">
        <v>3774</v>
      </c>
      <c r="C314" t="s">
        <v>3775</v>
      </c>
      <c r="D314" t="s">
        <v>3361</v>
      </c>
      <c r="E314" t="s">
        <v>3361</v>
      </c>
      <c r="F314" t="s">
        <v>2891</v>
      </c>
      <c r="G314" t="s">
        <v>357</v>
      </c>
      <c r="H314" t="s">
        <v>122</v>
      </c>
      <c r="I314" t="s">
        <v>2931</v>
      </c>
    </row>
    <row r="315" spans="1:9">
      <c r="A315" s="5" t="s">
        <v>2572</v>
      </c>
      <c r="B315" s="5" t="s">
        <v>3776</v>
      </c>
      <c r="C315" t="s">
        <v>3777</v>
      </c>
      <c r="D315" t="s">
        <v>3361</v>
      </c>
      <c r="E315" t="s">
        <v>3361</v>
      </c>
      <c r="F315" t="s">
        <v>2891</v>
      </c>
      <c r="G315" t="s">
        <v>357</v>
      </c>
      <c r="H315" t="s">
        <v>122</v>
      </c>
      <c r="I315" t="s">
        <v>2921</v>
      </c>
    </row>
    <row r="316" spans="1:9">
      <c r="A316" s="5" t="s">
        <v>2578</v>
      </c>
      <c r="B316" s="5" t="s">
        <v>3778</v>
      </c>
      <c r="C316" t="s">
        <v>3779</v>
      </c>
      <c r="D316" t="s">
        <v>3780</v>
      </c>
      <c r="E316" t="s">
        <v>3780</v>
      </c>
      <c r="F316" t="s">
        <v>2887</v>
      </c>
      <c r="G316" t="s">
        <v>318</v>
      </c>
      <c r="H316" t="s">
        <v>122</v>
      </c>
      <c r="I316" t="s">
        <v>3781</v>
      </c>
    </row>
    <row r="317" spans="1:9">
      <c r="A317" s="5" t="s">
        <v>2557</v>
      </c>
      <c r="B317" s="5" t="s">
        <v>3782</v>
      </c>
      <c r="C317" t="s">
        <v>3783</v>
      </c>
      <c r="D317" t="s">
        <v>3784</v>
      </c>
      <c r="E317" t="s">
        <v>3784</v>
      </c>
      <c r="F317" t="s">
        <v>2891</v>
      </c>
      <c r="G317" t="s">
        <v>357</v>
      </c>
      <c r="H317" t="s">
        <v>122</v>
      </c>
      <c r="I317" t="s">
        <v>3785</v>
      </c>
    </row>
    <row r="318" spans="1:9">
      <c r="A318" s="5" t="s">
        <v>2583</v>
      </c>
      <c r="B318" s="5" t="s">
        <v>3786</v>
      </c>
      <c r="C318" t="s">
        <v>3787</v>
      </c>
      <c r="D318" t="s">
        <v>3788</v>
      </c>
      <c r="E318" t="s">
        <v>3788</v>
      </c>
      <c r="F318" t="s">
        <v>2887</v>
      </c>
      <c r="G318" t="s">
        <v>318</v>
      </c>
      <c r="H318" t="s">
        <v>122</v>
      </c>
      <c r="I318" t="s">
        <v>3471</v>
      </c>
    </row>
    <row r="319" spans="1:9" ht="29.1">
      <c r="A319" s="5" t="s">
        <v>2587</v>
      </c>
      <c r="B319" s="5" t="s">
        <v>3789</v>
      </c>
      <c r="C319" t="s">
        <v>327</v>
      </c>
      <c r="D319" t="s">
        <v>3790</v>
      </c>
      <c r="E319" t="s">
        <v>3790</v>
      </c>
      <c r="F319" t="s">
        <v>2887</v>
      </c>
      <c r="G319" t="s">
        <v>308</v>
      </c>
      <c r="H319" t="s">
        <v>122</v>
      </c>
      <c r="I319" t="s">
        <v>327</v>
      </c>
    </row>
    <row r="320" spans="1:9">
      <c r="A320" s="5" t="s">
        <v>2587</v>
      </c>
      <c r="B320" s="5" t="s">
        <v>3791</v>
      </c>
      <c r="C320" t="s">
        <v>3792</v>
      </c>
      <c r="D320" t="s">
        <v>3790</v>
      </c>
      <c r="E320" t="s">
        <v>3790</v>
      </c>
      <c r="F320" t="s">
        <v>2887</v>
      </c>
      <c r="G320" t="s">
        <v>318</v>
      </c>
      <c r="H320" t="s">
        <v>122</v>
      </c>
      <c r="I320" t="s">
        <v>3793</v>
      </c>
    </row>
    <row r="321" spans="1:9" ht="29.1">
      <c r="A321" s="5" t="s">
        <v>2593</v>
      </c>
      <c r="B321" s="5" t="s">
        <v>3794</v>
      </c>
      <c r="C321" t="s">
        <v>3795</v>
      </c>
      <c r="D321" t="s">
        <v>2984</v>
      </c>
      <c r="E321" t="s">
        <v>2984</v>
      </c>
      <c r="F321" t="s">
        <v>2891</v>
      </c>
      <c r="G321" t="s">
        <v>328</v>
      </c>
      <c r="H321" t="s">
        <v>122</v>
      </c>
      <c r="I321" t="s">
        <v>2896</v>
      </c>
    </row>
    <row r="322" spans="1:9">
      <c r="A322" s="5" t="s">
        <v>2596</v>
      </c>
      <c r="B322" s="5" t="s">
        <v>3796</v>
      </c>
      <c r="C322" t="s">
        <v>3797</v>
      </c>
      <c r="D322" t="s">
        <v>3300</v>
      </c>
      <c r="E322" t="s">
        <v>3300</v>
      </c>
      <c r="F322" t="s">
        <v>2891</v>
      </c>
      <c r="G322" t="s">
        <v>357</v>
      </c>
      <c r="H322" t="s">
        <v>122</v>
      </c>
      <c r="I322" t="s">
        <v>2597</v>
      </c>
    </row>
    <row r="323" spans="1:9">
      <c r="A323" s="5" t="s">
        <v>2599</v>
      </c>
      <c r="B323" s="5" t="s">
        <v>2947</v>
      </c>
      <c r="C323" t="s">
        <v>2948</v>
      </c>
      <c r="D323" t="s">
        <v>2930</v>
      </c>
      <c r="E323" t="s">
        <v>2930</v>
      </c>
      <c r="F323" t="s">
        <v>2887</v>
      </c>
      <c r="G323" t="s">
        <v>318</v>
      </c>
      <c r="H323" t="s">
        <v>122</v>
      </c>
      <c r="I323" t="s">
        <v>2950</v>
      </c>
    </row>
    <row r="324" spans="1:9">
      <c r="A324" s="5" t="s">
        <v>1799</v>
      </c>
      <c r="B324" s="5" t="s">
        <v>3798</v>
      </c>
      <c r="C324" t="s">
        <v>3799</v>
      </c>
      <c r="D324" t="s">
        <v>3800</v>
      </c>
      <c r="E324" t="s">
        <v>3800</v>
      </c>
      <c r="F324" t="s">
        <v>2887</v>
      </c>
      <c r="G324" t="s">
        <v>3801</v>
      </c>
      <c r="H324" t="s">
        <v>122</v>
      </c>
      <c r="I324" t="s">
        <v>3802</v>
      </c>
    </row>
    <row r="325" spans="1:9" ht="29.1">
      <c r="A325" s="5" t="s">
        <v>2641</v>
      </c>
      <c r="B325" s="5" t="s">
        <v>3803</v>
      </c>
      <c r="C325" t="s">
        <v>3804</v>
      </c>
      <c r="D325" t="s">
        <v>2906</v>
      </c>
      <c r="E325" t="s">
        <v>2906</v>
      </c>
      <c r="F325" t="s">
        <v>2887</v>
      </c>
      <c r="G325" t="s">
        <v>3805</v>
      </c>
      <c r="H325" t="s">
        <v>122</v>
      </c>
      <c r="I325" t="s">
        <v>2859</v>
      </c>
    </row>
    <row r="326" spans="1:9">
      <c r="A326" s="5" t="s">
        <v>2614</v>
      </c>
      <c r="B326" s="5" t="s">
        <v>3806</v>
      </c>
      <c r="C326" t="s">
        <v>3807</v>
      </c>
      <c r="D326" t="s">
        <v>3808</v>
      </c>
      <c r="E326" t="s">
        <v>3808</v>
      </c>
      <c r="F326" t="s">
        <v>2887</v>
      </c>
      <c r="G326" t="s">
        <v>318</v>
      </c>
      <c r="H326" t="s">
        <v>122</v>
      </c>
      <c r="I326" t="s">
        <v>3809</v>
      </c>
    </row>
    <row r="327" spans="1:9">
      <c r="A327" s="5" t="s">
        <v>1462</v>
      </c>
      <c r="B327" s="5" t="s">
        <v>3810</v>
      </c>
      <c r="C327" t="s">
        <v>3811</v>
      </c>
      <c r="D327" t="s">
        <v>3812</v>
      </c>
      <c r="E327" t="s">
        <v>3812</v>
      </c>
      <c r="F327" t="s">
        <v>2887</v>
      </c>
      <c r="G327" t="s">
        <v>318</v>
      </c>
      <c r="H327" t="s">
        <v>122</v>
      </c>
      <c r="I327" t="s">
        <v>3198</v>
      </c>
    </row>
    <row r="328" spans="1:9">
      <c r="A328" s="5" t="s">
        <v>2632</v>
      </c>
      <c r="B328" s="5" t="s">
        <v>3813</v>
      </c>
      <c r="C328" t="s">
        <v>3814</v>
      </c>
      <c r="D328" t="s">
        <v>3127</v>
      </c>
      <c r="E328" t="s">
        <v>3127</v>
      </c>
      <c r="F328" t="s">
        <v>2887</v>
      </c>
      <c r="G328" t="s">
        <v>418</v>
      </c>
      <c r="H328" t="s">
        <v>122</v>
      </c>
      <c r="I328" t="s">
        <v>3815</v>
      </c>
    </row>
    <row r="329" spans="1:9">
      <c r="A329" s="5" t="s">
        <v>2638</v>
      </c>
      <c r="B329" s="5" t="s">
        <v>3816</v>
      </c>
      <c r="C329" t="s">
        <v>2970</v>
      </c>
      <c r="D329" t="s">
        <v>3411</v>
      </c>
      <c r="E329" t="s">
        <v>3411</v>
      </c>
      <c r="F329" t="s">
        <v>2887</v>
      </c>
      <c r="G329" t="s">
        <v>376</v>
      </c>
      <c r="H329" t="s">
        <v>122</v>
      </c>
      <c r="I329" t="s">
        <v>2972</v>
      </c>
    </row>
    <row r="330" spans="1:9">
      <c r="A330" s="5" t="s">
        <v>2650</v>
      </c>
      <c r="B330" s="5" t="s">
        <v>3817</v>
      </c>
      <c r="C330" t="s">
        <v>3818</v>
      </c>
      <c r="D330" t="s">
        <v>3819</v>
      </c>
      <c r="E330" t="s">
        <v>3819</v>
      </c>
      <c r="F330" t="s">
        <v>2887</v>
      </c>
      <c r="G330" t="s">
        <v>318</v>
      </c>
      <c r="H330" t="s">
        <v>122</v>
      </c>
      <c r="I330" t="s">
        <v>836</v>
      </c>
    </row>
    <row r="331" spans="1:9">
      <c r="A331" s="5" t="s">
        <v>2654</v>
      </c>
      <c r="B331" s="5" t="s">
        <v>3820</v>
      </c>
      <c r="C331" t="s">
        <v>3627</v>
      </c>
      <c r="D331" t="s">
        <v>3821</v>
      </c>
      <c r="E331" t="s">
        <v>3821</v>
      </c>
      <c r="F331" t="s">
        <v>2887</v>
      </c>
      <c r="G331" t="s">
        <v>318</v>
      </c>
      <c r="H331" t="s">
        <v>122</v>
      </c>
      <c r="I331" t="s">
        <v>3628</v>
      </c>
    </row>
    <row r="332" spans="1:9" ht="29.1">
      <c r="A332" s="5" t="s">
        <v>657</v>
      </c>
      <c r="B332" s="5" t="s">
        <v>3822</v>
      </c>
      <c r="C332" t="s">
        <v>3823</v>
      </c>
      <c r="D332" t="s">
        <v>3824</v>
      </c>
      <c r="E332" t="s">
        <v>3824</v>
      </c>
      <c r="F332" t="s">
        <v>2887</v>
      </c>
      <c r="G332" t="s">
        <v>318</v>
      </c>
      <c r="H332" t="s">
        <v>122</v>
      </c>
      <c r="I332" t="s">
        <v>3360</v>
      </c>
    </row>
    <row r="333" spans="1:9">
      <c r="A333" s="5" t="s">
        <v>2661</v>
      </c>
      <c r="B333" s="5" t="s">
        <v>3825</v>
      </c>
      <c r="C333" t="s">
        <v>3826</v>
      </c>
      <c r="D333" t="s">
        <v>3827</v>
      </c>
      <c r="E333" t="s">
        <v>3827</v>
      </c>
      <c r="F333" t="s">
        <v>2887</v>
      </c>
      <c r="G333" t="s">
        <v>318</v>
      </c>
      <c r="H333" t="s">
        <v>122</v>
      </c>
      <c r="I333" t="s">
        <v>3828</v>
      </c>
    </row>
    <row r="334" spans="1:9">
      <c r="A334" s="5" t="s">
        <v>2661</v>
      </c>
      <c r="B334" s="5" t="s">
        <v>3825</v>
      </c>
      <c r="C334" t="s">
        <v>3826</v>
      </c>
      <c r="D334" t="s">
        <v>3827</v>
      </c>
      <c r="E334" t="s">
        <v>3827</v>
      </c>
      <c r="F334" t="s">
        <v>2887</v>
      </c>
      <c r="G334" t="s">
        <v>318</v>
      </c>
      <c r="H334" t="s">
        <v>122</v>
      </c>
      <c r="I334" t="s">
        <v>3828</v>
      </c>
    </row>
    <row r="335" spans="1:9">
      <c r="A335" s="5" t="s">
        <v>1133</v>
      </c>
      <c r="B335" s="5" t="s">
        <v>3829</v>
      </c>
      <c r="C335" t="s">
        <v>3353</v>
      </c>
      <c r="D335" t="s">
        <v>3830</v>
      </c>
      <c r="E335" t="s">
        <v>3830</v>
      </c>
      <c r="F335" t="s">
        <v>2891</v>
      </c>
      <c r="G335" t="s">
        <v>318</v>
      </c>
      <c r="H335" t="s">
        <v>122</v>
      </c>
      <c r="I335" t="s">
        <v>3189</v>
      </c>
    </row>
    <row r="336" spans="1:9">
      <c r="A336" s="5" t="s">
        <v>229</v>
      </c>
      <c r="B336" s="5" t="s">
        <v>3831</v>
      </c>
      <c r="C336" t="s">
        <v>3832</v>
      </c>
      <c r="D336" t="s">
        <v>2906</v>
      </c>
      <c r="E336" t="s">
        <v>3833</v>
      </c>
      <c r="F336" t="s">
        <v>2891</v>
      </c>
      <c r="G336" t="s">
        <v>318</v>
      </c>
      <c r="H336" t="s">
        <v>122</v>
      </c>
      <c r="I336" t="s">
        <v>3834</v>
      </c>
    </row>
    <row r="337" spans="1:9">
      <c r="A337" s="5" t="s">
        <v>229</v>
      </c>
      <c r="B337" s="5" t="s">
        <v>3835</v>
      </c>
      <c r="C337" t="s">
        <v>3836</v>
      </c>
      <c r="D337" t="s">
        <v>2906</v>
      </c>
      <c r="E337" t="s">
        <v>3370</v>
      </c>
      <c r="F337" t="s">
        <v>2887</v>
      </c>
      <c r="G337" t="s">
        <v>3805</v>
      </c>
      <c r="H337" t="s">
        <v>122</v>
      </c>
      <c r="I337" t="s">
        <v>3837</v>
      </c>
    </row>
    <row r="338" spans="1:9" ht="29.1">
      <c r="A338" s="5" t="s">
        <v>2667</v>
      </c>
      <c r="B338" s="5" t="s">
        <v>3838</v>
      </c>
      <c r="C338" t="s">
        <v>3839</v>
      </c>
      <c r="D338" t="s">
        <v>3401</v>
      </c>
      <c r="E338" t="s">
        <v>3401</v>
      </c>
      <c r="F338" t="s">
        <v>2891</v>
      </c>
      <c r="G338" t="s">
        <v>328</v>
      </c>
      <c r="H338" t="s">
        <v>122</v>
      </c>
      <c r="I338" t="s">
        <v>2931</v>
      </c>
    </row>
    <row r="339" spans="1:9">
      <c r="A339" s="5" t="s">
        <v>2673</v>
      </c>
      <c r="B339" s="5" t="s">
        <v>3840</v>
      </c>
      <c r="C339" t="s">
        <v>3353</v>
      </c>
      <c r="D339" t="s">
        <v>2934</v>
      </c>
      <c r="E339" t="s">
        <v>2934</v>
      </c>
      <c r="F339" t="s">
        <v>2887</v>
      </c>
      <c r="G339" t="s">
        <v>318</v>
      </c>
      <c r="H339" t="s">
        <v>122</v>
      </c>
      <c r="I339" t="s">
        <v>3189</v>
      </c>
    </row>
    <row r="340" spans="1:9">
      <c r="A340" s="5" t="s">
        <v>2683</v>
      </c>
      <c r="B340" s="5" t="s">
        <v>3841</v>
      </c>
      <c r="C340" t="s">
        <v>3353</v>
      </c>
      <c r="D340" t="s">
        <v>3098</v>
      </c>
      <c r="E340" t="s">
        <v>3098</v>
      </c>
      <c r="F340" t="s">
        <v>2891</v>
      </c>
      <c r="G340" t="s">
        <v>318</v>
      </c>
      <c r="H340" t="s">
        <v>122</v>
      </c>
      <c r="I340" t="s">
        <v>3189</v>
      </c>
    </row>
    <row r="341" spans="1:9">
      <c r="A341" s="5" t="s">
        <v>2699</v>
      </c>
      <c r="B341" s="5" t="s">
        <v>2699</v>
      </c>
      <c r="C341" t="s">
        <v>3445</v>
      </c>
      <c r="D341" t="s">
        <v>3300</v>
      </c>
      <c r="E341" t="s">
        <v>3300</v>
      </c>
      <c r="F341" t="s">
        <v>2887</v>
      </c>
      <c r="G341" t="s">
        <v>308</v>
      </c>
      <c r="H341" t="s">
        <v>122</v>
      </c>
      <c r="I341" t="s">
        <v>2908</v>
      </c>
    </row>
    <row r="342" spans="1:9">
      <c r="A342" s="5" t="s">
        <v>2703</v>
      </c>
      <c r="B342" s="5" t="s">
        <v>2703</v>
      </c>
      <c r="C342" t="s">
        <v>3842</v>
      </c>
      <c r="D342" t="s">
        <v>3223</v>
      </c>
      <c r="E342" t="s">
        <v>3223</v>
      </c>
      <c r="F342" t="s">
        <v>2891</v>
      </c>
      <c r="G342" t="s">
        <v>328</v>
      </c>
      <c r="H342" t="s">
        <v>122</v>
      </c>
      <c r="I342" t="s">
        <v>3843</v>
      </c>
    </row>
    <row r="343" spans="1:9">
      <c r="A343" s="5" t="s">
        <v>2711</v>
      </c>
      <c r="B343" s="5" t="s">
        <v>2711</v>
      </c>
      <c r="C343" t="s">
        <v>3844</v>
      </c>
      <c r="D343" t="s">
        <v>3470</v>
      </c>
      <c r="E343" t="s">
        <v>3470</v>
      </c>
      <c r="F343" t="s">
        <v>2887</v>
      </c>
      <c r="G343" t="s">
        <v>3581</v>
      </c>
      <c r="H343" t="s">
        <v>122</v>
      </c>
      <c r="I343" t="s">
        <v>2075</v>
      </c>
    </row>
    <row r="344" spans="1:9" ht="29.1">
      <c r="A344" s="5" t="s">
        <v>2719</v>
      </c>
      <c r="B344" s="5" t="s">
        <v>3845</v>
      </c>
      <c r="C344" t="s">
        <v>3846</v>
      </c>
      <c r="D344" t="s">
        <v>3255</v>
      </c>
      <c r="E344" t="s">
        <v>3255</v>
      </c>
      <c r="F344" t="s">
        <v>2887</v>
      </c>
      <c r="G344" t="s">
        <v>308</v>
      </c>
      <c r="H344" t="s">
        <v>122</v>
      </c>
      <c r="I344" t="s">
        <v>3847</v>
      </c>
    </row>
    <row r="345" spans="1:9">
      <c r="A345" s="5" t="s">
        <v>2725</v>
      </c>
      <c r="B345" s="5" t="s">
        <v>3848</v>
      </c>
      <c r="C345" t="s">
        <v>3849</v>
      </c>
      <c r="D345" t="s">
        <v>2995</v>
      </c>
      <c r="E345" t="s">
        <v>2995</v>
      </c>
      <c r="F345" t="s">
        <v>2887</v>
      </c>
      <c r="G345" t="s">
        <v>376</v>
      </c>
      <c r="H345" t="s">
        <v>122</v>
      </c>
      <c r="I345" t="s">
        <v>3850</v>
      </c>
    </row>
    <row r="346" spans="1:9">
      <c r="A346" s="5" t="s">
        <v>2148</v>
      </c>
      <c r="B346" s="5" t="s">
        <v>3851</v>
      </c>
      <c r="C346" t="s">
        <v>3852</v>
      </c>
      <c r="D346" t="s">
        <v>3853</v>
      </c>
      <c r="E346" t="s">
        <v>3853</v>
      </c>
      <c r="F346" t="s">
        <v>2891</v>
      </c>
      <c r="G346" t="s">
        <v>210</v>
      </c>
      <c r="H346" t="s">
        <v>122</v>
      </c>
      <c r="I346" t="s">
        <v>2990</v>
      </c>
    </row>
    <row r="347" spans="1:9">
      <c r="A347" s="5" t="s">
        <v>2739</v>
      </c>
      <c r="B347" s="5" t="s">
        <v>3854</v>
      </c>
      <c r="C347" t="s">
        <v>3855</v>
      </c>
      <c r="D347" t="s">
        <v>3856</v>
      </c>
      <c r="E347" t="s">
        <v>3856</v>
      </c>
      <c r="F347" t="s">
        <v>2887</v>
      </c>
      <c r="G347" t="s">
        <v>318</v>
      </c>
      <c r="H347" t="s">
        <v>122</v>
      </c>
      <c r="I347" t="s">
        <v>1193</v>
      </c>
    </row>
    <row r="348" spans="1:9">
      <c r="A348" s="5" t="s">
        <v>2744</v>
      </c>
      <c r="B348" s="5" t="s">
        <v>3857</v>
      </c>
      <c r="C348" t="s">
        <v>3858</v>
      </c>
      <c r="D348" t="s">
        <v>3255</v>
      </c>
      <c r="E348" t="s">
        <v>3255</v>
      </c>
      <c r="F348" t="s">
        <v>2887</v>
      </c>
      <c r="G348" t="s">
        <v>424</v>
      </c>
      <c r="H348" t="s">
        <v>122</v>
      </c>
      <c r="I348" t="s">
        <v>380</v>
      </c>
    </row>
    <row r="349" spans="1:9" ht="29.1">
      <c r="A349" s="5" t="s">
        <v>2747</v>
      </c>
      <c r="B349" s="5" t="s">
        <v>2747</v>
      </c>
      <c r="C349" t="s">
        <v>3859</v>
      </c>
      <c r="D349" t="s">
        <v>3411</v>
      </c>
      <c r="E349" t="s">
        <v>3411</v>
      </c>
      <c r="F349" t="s">
        <v>2887</v>
      </c>
      <c r="G349" t="s">
        <v>318</v>
      </c>
      <c r="H349" t="s">
        <v>122</v>
      </c>
      <c r="I349" t="s">
        <v>3860</v>
      </c>
    </row>
    <row r="350" spans="1:9">
      <c r="A350" s="5" t="s">
        <v>2564</v>
      </c>
      <c r="B350" s="5" t="s">
        <v>3861</v>
      </c>
      <c r="C350" t="s">
        <v>3862</v>
      </c>
      <c r="D350" t="s">
        <v>3863</v>
      </c>
      <c r="E350" t="s">
        <v>3863</v>
      </c>
      <c r="F350" t="s">
        <v>2891</v>
      </c>
      <c r="G350" t="s">
        <v>357</v>
      </c>
      <c r="H350" t="s">
        <v>122</v>
      </c>
      <c r="I350" t="s">
        <v>2931</v>
      </c>
    </row>
    <row r="351" spans="1:9">
      <c r="A351" s="5" t="s">
        <v>2781</v>
      </c>
      <c r="B351" s="5" t="s">
        <v>3864</v>
      </c>
      <c r="C351" t="s">
        <v>3865</v>
      </c>
      <c r="D351" t="s">
        <v>3866</v>
      </c>
      <c r="E351" t="s">
        <v>3866</v>
      </c>
      <c r="F351" t="s">
        <v>2887</v>
      </c>
      <c r="G351" t="s">
        <v>318</v>
      </c>
      <c r="H351" t="s">
        <v>122</v>
      </c>
      <c r="I351" t="s">
        <v>1564</v>
      </c>
    </row>
    <row r="352" spans="1:9">
      <c r="A352" s="5" t="s">
        <v>2785</v>
      </c>
      <c r="B352" s="5" t="s">
        <v>2785</v>
      </c>
      <c r="C352" t="s">
        <v>3867</v>
      </c>
      <c r="D352" t="s">
        <v>2899</v>
      </c>
      <c r="E352" t="s">
        <v>2899</v>
      </c>
      <c r="F352" t="s">
        <v>2891</v>
      </c>
      <c r="G352" t="s">
        <v>424</v>
      </c>
      <c r="H352" t="s">
        <v>122</v>
      </c>
      <c r="I352" t="s">
        <v>3868</v>
      </c>
    </row>
    <row r="353" spans="1:9" ht="29.1">
      <c r="A353" s="5" t="s">
        <v>2792</v>
      </c>
      <c r="B353" s="5" t="s">
        <v>3869</v>
      </c>
      <c r="C353" t="s">
        <v>3870</v>
      </c>
      <c r="D353" t="s">
        <v>3017</v>
      </c>
      <c r="E353" t="s">
        <v>3871</v>
      </c>
      <c r="F353" t="s">
        <v>2891</v>
      </c>
      <c r="G353" t="s">
        <v>357</v>
      </c>
      <c r="H353" t="s">
        <v>122</v>
      </c>
      <c r="I353" t="s">
        <v>441</v>
      </c>
    </row>
    <row r="354" spans="1:9">
      <c r="A354" s="5" t="s">
        <v>2795</v>
      </c>
      <c r="B354" s="5" t="s">
        <v>3872</v>
      </c>
      <c r="C354" t="s">
        <v>3873</v>
      </c>
      <c r="D354" t="s">
        <v>3874</v>
      </c>
      <c r="E354" t="s">
        <v>3874</v>
      </c>
      <c r="F354" t="s">
        <v>2887</v>
      </c>
      <c r="G354" t="s">
        <v>424</v>
      </c>
      <c r="H354" t="s">
        <v>122</v>
      </c>
      <c r="I354" t="s">
        <v>3875</v>
      </c>
    </row>
    <row r="355" spans="1:9">
      <c r="A355" s="5" t="s">
        <v>2812</v>
      </c>
      <c r="B355" s="5" t="s">
        <v>2812</v>
      </c>
      <c r="C355" t="s">
        <v>3876</v>
      </c>
      <c r="D355" t="s">
        <v>3877</v>
      </c>
      <c r="E355" t="s">
        <v>3877</v>
      </c>
      <c r="F355" t="s">
        <v>2887</v>
      </c>
      <c r="G355" t="s">
        <v>376</v>
      </c>
      <c r="H355" t="s">
        <v>122</v>
      </c>
      <c r="I355" t="s">
        <v>3878</v>
      </c>
    </row>
    <row r="356" spans="1:9">
      <c r="A356" s="5" t="s">
        <v>2816</v>
      </c>
      <c r="B356" s="5" t="s">
        <v>3879</v>
      </c>
      <c r="C356" t="s">
        <v>3880</v>
      </c>
      <c r="D356" t="s">
        <v>3881</v>
      </c>
      <c r="E356" t="s">
        <v>3881</v>
      </c>
      <c r="F356" t="s">
        <v>2887</v>
      </c>
      <c r="G356" t="s">
        <v>318</v>
      </c>
      <c r="H356" t="s">
        <v>122</v>
      </c>
      <c r="I356" t="s">
        <v>3882</v>
      </c>
    </row>
    <row r="357" spans="1:9" ht="43.5">
      <c r="A357" s="5" t="s">
        <v>2821</v>
      </c>
      <c r="B357" s="5" t="s">
        <v>3883</v>
      </c>
      <c r="C357" t="s">
        <v>3880</v>
      </c>
      <c r="D357" t="s">
        <v>3884</v>
      </c>
      <c r="E357" t="s">
        <v>3884</v>
      </c>
      <c r="F357" t="s">
        <v>2887</v>
      </c>
      <c r="G357" t="s">
        <v>318</v>
      </c>
      <c r="H357" t="s">
        <v>122</v>
      </c>
      <c r="I357" t="s">
        <v>3882</v>
      </c>
    </row>
    <row r="358" spans="1:9">
      <c r="A358" s="5" t="s">
        <v>2830</v>
      </c>
      <c r="B358" s="5" t="s">
        <v>3885</v>
      </c>
      <c r="C358" t="s">
        <v>3886</v>
      </c>
      <c r="D358" t="s">
        <v>3887</v>
      </c>
      <c r="E358" t="s">
        <v>3887</v>
      </c>
      <c r="F358" t="s">
        <v>2887</v>
      </c>
      <c r="G358" t="s">
        <v>318</v>
      </c>
      <c r="H358" t="s">
        <v>122</v>
      </c>
      <c r="I358" t="s">
        <v>3888</v>
      </c>
    </row>
    <row r="359" spans="1:9">
      <c r="A359" s="5" t="s">
        <v>2840</v>
      </c>
      <c r="B359" s="5" t="s">
        <v>3889</v>
      </c>
      <c r="C359" t="s">
        <v>3890</v>
      </c>
      <c r="D359" t="s">
        <v>3361</v>
      </c>
      <c r="E359" t="s">
        <v>3361</v>
      </c>
      <c r="F359" t="s">
        <v>2887</v>
      </c>
      <c r="G359" t="s">
        <v>308</v>
      </c>
      <c r="H359" t="s">
        <v>122</v>
      </c>
      <c r="I359" t="s">
        <v>2921</v>
      </c>
    </row>
    <row r="360" spans="1:9">
      <c r="A360" s="5" t="s">
        <v>2843</v>
      </c>
      <c r="B360" s="5" t="s">
        <v>3891</v>
      </c>
      <c r="C360" t="s">
        <v>3892</v>
      </c>
      <c r="D360" t="s">
        <v>3893</v>
      </c>
      <c r="E360" t="s">
        <v>3893</v>
      </c>
      <c r="F360" t="s">
        <v>2887</v>
      </c>
      <c r="G360" t="s">
        <v>308</v>
      </c>
      <c r="H360" t="s">
        <v>122</v>
      </c>
      <c r="I360" t="s">
        <v>3894</v>
      </c>
    </row>
    <row r="361" spans="1:9" ht="43.5">
      <c r="A361" s="5" t="s">
        <v>2856</v>
      </c>
      <c r="B361" s="5" t="s">
        <v>3895</v>
      </c>
      <c r="C361" t="s">
        <v>3896</v>
      </c>
      <c r="D361" t="s">
        <v>3897</v>
      </c>
      <c r="E361" t="s">
        <v>3897</v>
      </c>
      <c r="F361" t="s">
        <v>2887</v>
      </c>
      <c r="G361" t="s">
        <v>367</v>
      </c>
      <c r="H361" t="s">
        <v>122</v>
      </c>
      <c r="I361" t="s">
        <v>385</v>
      </c>
    </row>
    <row r="362" spans="1:9">
      <c r="A362" s="5" t="s">
        <v>2871</v>
      </c>
      <c r="B362" s="5" t="s">
        <v>3898</v>
      </c>
      <c r="C362" t="s">
        <v>3899</v>
      </c>
      <c r="D362" t="s">
        <v>3900</v>
      </c>
      <c r="E362" t="s">
        <v>3900</v>
      </c>
      <c r="F362" t="s">
        <v>2891</v>
      </c>
      <c r="G362" t="s">
        <v>367</v>
      </c>
      <c r="H362" t="s">
        <v>122</v>
      </c>
      <c r="I362" t="s">
        <v>3901</v>
      </c>
    </row>
    <row r="363" spans="1:9">
      <c r="A363" s="5" t="s">
        <v>2876</v>
      </c>
      <c r="B363" s="5" t="s">
        <v>3902</v>
      </c>
      <c r="C363" t="s">
        <v>3903</v>
      </c>
      <c r="D363" t="s">
        <v>3223</v>
      </c>
      <c r="E363" t="s">
        <v>3223</v>
      </c>
      <c r="F363" t="s">
        <v>2891</v>
      </c>
      <c r="G363" t="s">
        <v>328</v>
      </c>
      <c r="H363" t="s">
        <v>122</v>
      </c>
      <c r="I363" t="s">
        <v>3843</v>
      </c>
    </row>
    <row r="364" spans="1:9">
      <c r="A364" s="5" t="s">
        <v>705</v>
      </c>
      <c r="B364" s="5" t="s">
        <v>3904</v>
      </c>
      <c r="C364" t="s">
        <v>3905</v>
      </c>
      <c r="D364" t="s">
        <v>3906</v>
      </c>
      <c r="E364" t="s">
        <v>3906</v>
      </c>
      <c r="F364" t="s">
        <v>2887</v>
      </c>
      <c r="G364" t="s">
        <v>424</v>
      </c>
      <c r="H364" t="s">
        <v>122</v>
      </c>
      <c r="I364" t="s">
        <v>1836</v>
      </c>
    </row>
    <row r="365" spans="1:9">
      <c r="A365" s="5" t="s">
        <v>1646</v>
      </c>
      <c r="B365" s="5" t="s">
        <v>3907</v>
      </c>
      <c r="C365" t="s">
        <v>3908</v>
      </c>
      <c r="D365" t="s">
        <v>3909</v>
      </c>
      <c r="E365" t="s">
        <v>3910</v>
      </c>
      <c r="F365" t="s">
        <v>2891</v>
      </c>
      <c r="G365" t="s">
        <v>424</v>
      </c>
      <c r="H365" t="s">
        <v>122</v>
      </c>
      <c r="I365" t="s">
        <v>2931</v>
      </c>
    </row>
    <row r="366" spans="1:9">
      <c r="A366" s="5" t="s">
        <v>327</v>
      </c>
      <c r="B366" s="5" t="s">
        <v>3911</v>
      </c>
      <c r="C366" t="s">
        <v>3912</v>
      </c>
      <c r="D366" t="s">
        <v>327</v>
      </c>
      <c r="E366" t="s">
        <v>327</v>
      </c>
      <c r="F366" t="s">
        <v>327</v>
      </c>
      <c r="G366" t="s">
        <v>327</v>
      </c>
      <c r="H366" t="s">
        <v>327</v>
      </c>
      <c r="I366" t="s">
        <v>2921</v>
      </c>
    </row>
    <row r="367" spans="1:9">
      <c r="A367" s="5" t="s">
        <v>327</v>
      </c>
      <c r="B367" s="5" t="s">
        <v>3913</v>
      </c>
      <c r="C367" t="s">
        <v>3914</v>
      </c>
      <c r="D367" t="s">
        <v>327</v>
      </c>
      <c r="E367" t="s">
        <v>327</v>
      </c>
      <c r="F367" t="s">
        <v>327</v>
      </c>
      <c r="G367" t="s">
        <v>327</v>
      </c>
      <c r="H367" t="s">
        <v>327</v>
      </c>
      <c r="I367" t="s">
        <v>2931</v>
      </c>
    </row>
    <row r="368" spans="1:9">
      <c r="A368" s="5" t="s">
        <v>327</v>
      </c>
      <c r="B368" s="5" t="s">
        <v>3915</v>
      </c>
      <c r="C368" t="s">
        <v>3916</v>
      </c>
      <c r="D368" t="s">
        <v>327</v>
      </c>
      <c r="E368" t="s">
        <v>327</v>
      </c>
      <c r="F368" t="s">
        <v>327</v>
      </c>
      <c r="G368" t="s">
        <v>327</v>
      </c>
      <c r="H368" t="s">
        <v>327</v>
      </c>
      <c r="I368" t="s">
        <v>2931</v>
      </c>
    </row>
    <row r="369" spans="1:9">
      <c r="A369" s="5" t="s">
        <v>327</v>
      </c>
      <c r="B369" s="5" t="s">
        <v>3917</v>
      </c>
      <c r="C369" t="s">
        <v>3918</v>
      </c>
      <c r="D369" t="s">
        <v>327</v>
      </c>
      <c r="E369" t="s">
        <v>327</v>
      </c>
      <c r="F369" t="s">
        <v>327</v>
      </c>
      <c r="G369" t="s">
        <v>327</v>
      </c>
      <c r="H369" t="s">
        <v>327</v>
      </c>
      <c r="I369" t="s">
        <v>2931</v>
      </c>
    </row>
    <row r="370" spans="1:9">
      <c r="A370" s="5" t="s">
        <v>327</v>
      </c>
      <c r="B370" s="5" t="s">
        <v>3919</v>
      </c>
      <c r="C370" t="s">
        <v>3920</v>
      </c>
      <c r="D370" t="s">
        <v>327</v>
      </c>
      <c r="E370" t="s">
        <v>327</v>
      </c>
      <c r="F370" t="s">
        <v>327</v>
      </c>
      <c r="G370" t="s">
        <v>327</v>
      </c>
      <c r="H370" t="s">
        <v>327</v>
      </c>
      <c r="I370" t="s">
        <v>2921</v>
      </c>
    </row>
    <row r="371" spans="1:9">
      <c r="A371" s="5" t="s">
        <v>327</v>
      </c>
      <c r="B371" s="5" t="s">
        <v>3921</v>
      </c>
      <c r="C371" t="s">
        <v>3922</v>
      </c>
      <c r="D371" t="s">
        <v>327</v>
      </c>
      <c r="E371" t="s">
        <v>327</v>
      </c>
      <c r="F371" t="s">
        <v>327</v>
      </c>
      <c r="G371" t="s">
        <v>327</v>
      </c>
      <c r="H371" t="s">
        <v>327</v>
      </c>
      <c r="I371" t="s">
        <v>3923</v>
      </c>
    </row>
    <row r="372" spans="1:9">
      <c r="A372" s="5" t="s">
        <v>327</v>
      </c>
      <c r="B372" s="5" t="s">
        <v>3924</v>
      </c>
      <c r="C372" t="s">
        <v>3925</v>
      </c>
      <c r="D372" t="s">
        <v>327</v>
      </c>
      <c r="E372" t="s">
        <v>327</v>
      </c>
      <c r="F372" t="s">
        <v>327</v>
      </c>
      <c r="G372" t="s">
        <v>327</v>
      </c>
      <c r="H372" t="s">
        <v>327</v>
      </c>
      <c r="I372" t="s">
        <v>2931</v>
      </c>
    </row>
    <row r="373" spans="1:9">
      <c r="A373" s="5" t="s">
        <v>327</v>
      </c>
      <c r="B373" s="5" t="s">
        <v>3926</v>
      </c>
      <c r="C373" t="s">
        <v>3927</v>
      </c>
      <c r="D373" t="s">
        <v>327</v>
      </c>
      <c r="E373" t="s">
        <v>327</v>
      </c>
      <c r="F373" t="s">
        <v>327</v>
      </c>
      <c r="G373" t="s">
        <v>327</v>
      </c>
      <c r="H373" t="s">
        <v>327</v>
      </c>
      <c r="I373" t="s">
        <v>2921</v>
      </c>
    </row>
    <row r="374" spans="1:9">
      <c r="A374" s="5" t="s">
        <v>327</v>
      </c>
      <c r="B374" s="5" t="s">
        <v>3928</v>
      </c>
      <c r="C374" t="s">
        <v>3929</v>
      </c>
      <c r="D374" t="s">
        <v>327</v>
      </c>
      <c r="E374" t="s">
        <v>327</v>
      </c>
      <c r="F374" t="s">
        <v>327</v>
      </c>
      <c r="G374" t="s">
        <v>327</v>
      </c>
      <c r="H374" t="s">
        <v>327</v>
      </c>
      <c r="I374" t="s">
        <v>2921</v>
      </c>
    </row>
    <row r="375" spans="1:9">
      <c r="A375" s="5" t="s">
        <v>327</v>
      </c>
      <c r="B375" s="5" t="s">
        <v>3930</v>
      </c>
      <c r="C375" t="s">
        <v>3931</v>
      </c>
      <c r="D375" t="s">
        <v>327</v>
      </c>
      <c r="E375" t="s">
        <v>327</v>
      </c>
      <c r="F375" t="s">
        <v>327</v>
      </c>
      <c r="G375" t="s">
        <v>327</v>
      </c>
      <c r="H375" t="s">
        <v>327</v>
      </c>
      <c r="I375" t="s">
        <v>2931</v>
      </c>
    </row>
    <row r="376" spans="1:9">
      <c r="A376" s="5" t="s">
        <v>327</v>
      </c>
      <c r="B376" s="5" t="s">
        <v>3932</v>
      </c>
      <c r="C376" t="s">
        <v>3933</v>
      </c>
      <c r="D376" t="s">
        <v>327</v>
      </c>
      <c r="E376" t="s">
        <v>327</v>
      </c>
      <c r="F376" t="s">
        <v>327</v>
      </c>
      <c r="G376" t="s">
        <v>327</v>
      </c>
      <c r="H376" t="s">
        <v>327</v>
      </c>
      <c r="I376" t="s">
        <v>2921</v>
      </c>
    </row>
    <row r="377" spans="1:9">
      <c r="A377" s="5" t="s">
        <v>327</v>
      </c>
      <c r="B377" s="5" t="s">
        <v>3934</v>
      </c>
      <c r="C377" t="s">
        <v>3935</v>
      </c>
      <c r="D377" t="s">
        <v>327</v>
      </c>
      <c r="E377" t="s">
        <v>327</v>
      </c>
      <c r="F377" t="s">
        <v>327</v>
      </c>
      <c r="G377" t="s">
        <v>327</v>
      </c>
      <c r="H377" t="s">
        <v>327</v>
      </c>
      <c r="I377" t="s">
        <v>2931</v>
      </c>
    </row>
    <row r="378" spans="1:9">
      <c r="A378" s="5" t="s">
        <v>327</v>
      </c>
      <c r="B378" s="5" t="s">
        <v>3936</v>
      </c>
      <c r="C378" t="s">
        <v>3937</v>
      </c>
      <c r="D378" t="s">
        <v>327</v>
      </c>
      <c r="E378" t="s">
        <v>327</v>
      </c>
      <c r="F378" t="s">
        <v>327</v>
      </c>
      <c r="G378" t="s">
        <v>327</v>
      </c>
      <c r="H378" t="s">
        <v>327</v>
      </c>
      <c r="I378" t="s">
        <v>2921</v>
      </c>
    </row>
    <row r="379" spans="1:9">
      <c r="A379" s="5" t="s">
        <v>327</v>
      </c>
      <c r="B379" s="5" t="s">
        <v>3938</v>
      </c>
      <c r="C379" t="s">
        <v>3939</v>
      </c>
      <c r="D379" t="s">
        <v>327</v>
      </c>
      <c r="E379" t="s">
        <v>327</v>
      </c>
      <c r="F379" t="s">
        <v>327</v>
      </c>
      <c r="G379" t="s">
        <v>327</v>
      </c>
      <c r="H379" t="s">
        <v>327</v>
      </c>
      <c r="I379" t="s">
        <v>2931</v>
      </c>
    </row>
    <row r="380" spans="1:9">
      <c r="A380" s="5" t="s">
        <v>327</v>
      </c>
      <c r="B380" s="5" t="s">
        <v>3940</v>
      </c>
      <c r="C380" t="s">
        <v>3941</v>
      </c>
      <c r="D380" t="s">
        <v>327</v>
      </c>
      <c r="E380" t="s">
        <v>327</v>
      </c>
      <c r="F380" t="s">
        <v>327</v>
      </c>
      <c r="G380" t="s">
        <v>327</v>
      </c>
      <c r="H380" t="s">
        <v>327</v>
      </c>
      <c r="I380" t="s">
        <v>2931</v>
      </c>
    </row>
    <row r="381" spans="1:9">
      <c r="A381" s="5" t="s">
        <v>327</v>
      </c>
      <c r="B381" s="5" t="s">
        <v>3942</v>
      </c>
      <c r="C381" t="s">
        <v>3943</v>
      </c>
      <c r="D381" t="s">
        <v>327</v>
      </c>
      <c r="E381" t="s">
        <v>327</v>
      </c>
      <c r="F381" t="s">
        <v>327</v>
      </c>
      <c r="G381" t="s">
        <v>327</v>
      </c>
      <c r="H381" t="s">
        <v>327</v>
      </c>
      <c r="I381" t="s">
        <v>2931</v>
      </c>
    </row>
    <row r="382" spans="1:9">
      <c r="A382" s="5" t="s">
        <v>327</v>
      </c>
      <c r="B382" s="5" t="s">
        <v>3944</v>
      </c>
      <c r="C382" t="s">
        <v>3945</v>
      </c>
      <c r="D382" t="s">
        <v>327</v>
      </c>
      <c r="E382" t="s">
        <v>327</v>
      </c>
      <c r="F382" t="s">
        <v>327</v>
      </c>
      <c r="G382" t="s">
        <v>327</v>
      </c>
      <c r="H382" t="s">
        <v>327</v>
      </c>
      <c r="I382" t="s">
        <v>2921</v>
      </c>
    </row>
    <row r="383" spans="1:9">
      <c r="A383" s="5" t="s">
        <v>327</v>
      </c>
      <c r="B383" s="5" t="s">
        <v>3946</v>
      </c>
      <c r="C383" t="s">
        <v>3947</v>
      </c>
      <c r="D383" t="s">
        <v>327</v>
      </c>
      <c r="E383" t="s">
        <v>327</v>
      </c>
      <c r="F383" t="s">
        <v>327</v>
      </c>
      <c r="G383" t="s">
        <v>327</v>
      </c>
      <c r="H383" t="s">
        <v>327</v>
      </c>
      <c r="I383" t="s">
        <v>2921</v>
      </c>
    </row>
    <row r="384" spans="1:9">
      <c r="A384" s="5" t="s">
        <v>327</v>
      </c>
      <c r="B384" s="5" t="s">
        <v>3948</v>
      </c>
      <c r="C384" t="s">
        <v>3949</v>
      </c>
      <c r="D384" t="s">
        <v>327</v>
      </c>
      <c r="E384" t="s">
        <v>327</v>
      </c>
      <c r="F384" t="s">
        <v>327</v>
      </c>
      <c r="G384" t="s">
        <v>327</v>
      </c>
      <c r="H384" t="s">
        <v>327</v>
      </c>
      <c r="I384" t="s">
        <v>2921</v>
      </c>
    </row>
    <row r="385" spans="1:9">
      <c r="A385" s="5" t="s">
        <v>327</v>
      </c>
      <c r="B385" s="5" t="s">
        <v>3950</v>
      </c>
      <c r="C385" t="s">
        <v>3951</v>
      </c>
      <c r="D385" t="s">
        <v>327</v>
      </c>
      <c r="E385" t="s">
        <v>327</v>
      </c>
      <c r="F385" t="s">
        <v>327</v>
      </c>
      <c r="G385" t="s">
        <v>327</v>
      </c>
      <c r="H385" t="s">
        <v>327</v>
      </c>
      <c r="I385" t="s">
        <v>2931</v>
      </c>
    </row>
    <row r="386" spans="1:9">
      <c r="A386" s="5" t="s">
        <v>327</v>
      </c>
      <c r="B386" s="5" t="s">
        <v>3952</v>
      </c>
      <c r="C386" t="s">
        <v>3953</v>
      </c>
      <c r="D386" t="s">
        <v>327</v>
      </c>
      <c r="E386" t="s">
        <v>327</v>
      </c>
      <c r="F386" t="s">
        <v>327</v>
      </c>
      <c r="G386" t="s">
        <v>327</v>
      </c>
      <c r="H386" t="s">
        <v>327</v>
      </c>
      <c r="I386" t="s">
        <v>2921</v>
      </c>
    </row>
    <row r="387" spans="1:9">
      <c r="A387" s="5" t="s">
        <v>327</v>
      </c>
      <c r="B387" s="5" t="s">
        <v>3954</v>
      </c>
      <c r="C387" t="s">
        <v>3955</v>
      </c>
      <c r="D387" t="s">
        <v>327</v>
      </c>
      <c r="E387" t="s">
        <v>327</v>
      </c>
      <c r="F387" t="s">
        <v>327</v>
      </c>
      <c r="G387" t="s">
        <v>327</v>
      </c>
      <c r="H387" t="s">
        <v>327</v>
      </c>
      <c r="I387" t="s">
        <v>3026</v>
      </c>
    </row>
    <row r="388" spans="1:9">
      <c r="A388" s="5" t="s">
        <v>327</v>
      </c>
      <c r="B388" s="5" t="s">
        <v>3956</v>
      </c>
      <c r="C388" t="s">
        <v>3957</v>
      </c>
      <c r="D388" t="s">
        <v>327</v>
      </c>
      <c r="E388" t="s">
        <v>327</v>
      </c>
      <c r="F388" t="s">
        <v>327</v>
      </c>
      <c r="G388" t="s">
        <v>327</v>
      </c>
      <c r="H388" t="s">
        <v>327</v>
      </c>
      <c r="I388" t="s">
        <v>3958</v>
      </c>
    </row>
    <row r="389" spans="1:9">
      <c r="A389" s="5" t="s">
        <v>327</v>
      </c>
      <c r="B389" s="5" t="s">
        <v>3959</v>
      </c>
      <c r="C389" t="s">
        <v>3960</v>
      </c>
      <c r="D389" t="s">
        <v>327</v>
      </c>
      <c r="E389" t="s">
        <v>327</v>
      </c>
      <c r="F389" t="s">
        <v>327</v>
      </c>
      <c r="G389" t="s">
        <v>327</v>
      </c>
      <c r="H389" t="s">
        <v>327</v>
      </c>
      <c r="I389" t="s">
        <v>3875</v>
      </c>
    </row>
    <row r="390" spans="1:9">
      <c r="A390" s="5" t="s">
        <v>327</v>
      </c>
      <c r="B390" s="5" t="s">
        <v>3961</v>
      </c>
      <c r="C390" t="s">
        <v>3962</v>
      </c>
      <c r="D390" t="s">
        <v>327</v>
      </c>
      <c r="E390" t="s">
        <v>327</v>
      </c>
      <c r="F390" t="s">
        <v>327</v>
      </c>
      <c r="G390" t="s">
        <v>327</v>
      </c>
      <c r="H390" t="s">
        <v>327</v>
      </c>
      <c r="I390" t="s">
        <v>2921</v>
      </c>
    </row>
    <row r="391" spans="1:9">
      <c r="A391" s="5" t="s">
        <v>327</v>
      </c>
      <c r="B391" s="5" t="s">
        <v>3963</v>
      </c>
      <c r="C391" t="s">
        <v>3964</v>
      </c>
      <c r="D391" t="s">
        <v>327</v>
      </c>
      <c r="E391" t="s">
        <v>327</v>
      </c>
      <c r="F391" t="s">
        <v>327</v>
      </c>
      <c r="G391" t="s">
        <v>327</v>
      </c>
      <c r="H391" t="s">
        <v>327</v>
      </c>
      <c r="I391" t="s">
        <v>2921</v>
      </c>
    </row>
    <row r="392" spans="1:9">
      <c r="A392" s="5" t="s">
        <v>327</v>
      </c>
      <c r="B392" s="5" t="s">
        <v>3965</v>
      </c>
      <c r="C392" t="s">
        <v>3966</v>
      </c>
      <c r="D392" t="s">
        <v>327</v>
      </c>
      <c r="E392" t="s">
        <v>327</v>
      </c>
      <c r="F392" t="s">
        <v>327</v>
      </c>
      <c r="G392" t="s">
        <v>327</v>
      </c>
      <c r="H392" t="s">
        <v>327</v>
      </c>
      <c r="I392" t="s">
        <v>2921</v>
      </c>
    </row>
    <row r="393" spans="1:9">
      <c r="A393" s="5" t="s">
        <v>327</v>
      </c>
      <c r="B393" s="5" t="s">
        <v>3967</v>
      </c>
      <c r="C393" t="s">
        <v>3968</v>
      </c>
      <c r="D393" t="s">
        <v>327</v>
      </c>
      <c r="E393" t="s">
        <v>327</v>
      </c>
      <c r="F393" t="s">
        <v>327</v>
      </c>
      <c r="G393" t="s">
        <v>327</v>
      </c>
      <c r="H393" t="s">
        <v>327</v>
      </c>
      <c r="I393" t="s">
        <v>2931</v>
      </c>
    </row>
    <row r="394" spans="1:9">
      <c r="A394" s="5" t="s">
        <v>327</v>
      </c>
      <c r="B394" s="5" t="s">
        <v>3969</v>
      </c>
      <c r="C394" t="s">
        <v>3970</v>
      </c>
      <c r="D394" t="s">
        <v>327</v>
      </c>
      <c r="E394" t="s">
        <v>327</v>
      </c>
      <c r="F394" t="s">
        <v>327</v>
      </c>
      <c r="G394" t="s">
        <v>327</v>
      </c>
      <c r="H394" t="s">
        <v>327</v>
      </c>
      <c r="I394" t="s">
        <v>2931</v>
      </c>
    </row>
    <row r="395" spans="1:9">
      <c r="A395" s="5" t="s">
        <v>327</v>
      </c>
      <c r="B395" s="5" t="s">
        <v>3971</v>
      </c>
      <c r="C395" t="s">
        <v>3972</v>
      </c>
      <c r="D395" t="s">
        <v>327</v>
      </c>
      <c r="E395" t="s">
        <v>327</v>
      </c>
      <c r="F395" t="s">
        <v>327</v>
      </c>
      <c r="G395" t="s">
        <v>327</v>
      </c>
      <c r="H395" t="s">
        <v>327</v>
      </c>
      <c r="I395" t="s">
        <v>2931</v>
      </c>
    </row>
    <row r="396" spans="1:9">
      <c r="A396" s="5" t="s">
        <v>327</v>
      </c>
      <c r="B396" s="5" t="s">
        <v>3973</v>
      </c>
      <c r="C396" t="s">
        <v>3974</v>
      </c>
      <c r="D396" t="s">
        <v>327</v>
      </c>
      <c r="E396" t="s">
        <v>327</v>
      </c>
      <c r="F396" t="s">
        <v>327</v>
      </c>
      <c r="G396" t="s">
        <v>327</v>
      </c>
      <c r="H396" t="s">
        <v>327</v>
      </c>
      <c r="I396" t="s">
        <v>2931</v>
      </c>
    </row>
    <row r="397" spans="1:9">
      <c r="A397" s="5" t="s">
        <v>327</v>
      </c>
      <c r="B397" s="5" t="s">
        <v>3975</v>
      </c>
      <c r="C397" t="s">
        <v>3976</v>
      </c>
      <c r="D397" t="s">
        <v>327</v>
      </c>
      <c r="E397" t="s">
        <v>327</v>
      </c>
      <c r="F397" t="s">
        <v>327</v>
      </c>
      <c r="G397" t="s">
        <v>327</v>
      </c>
      <c r="H397" t="s">
        <v>327</v>
      </c>
      <c r="I397" t="s">
        <v>2921</v>
      </c>
    </row>
    <row r="398" spans="1:9">
      <c r="A398" s="5" t="s">
        <v>327</v>
      </c>
      <c r="B398" s="5" t="s">
        <v>3977</v>
      </c>
      <c r="C398" t="s">
        <v>3978</v>
      </c>
      <c r="D398" t="s">
        <v>327</v>
      </c>
      <c r="E398" t="s">
        <v>327</v>
      </c>
      <c r="F398" t="s">
        <v>327</v>
      </c>
      <c r="G398" t="s">
        <v>327</v>
      </c>
      <c r="H398" t="s">
        <v>327</v>
      </c>
      <c r="I398" t="s">
        <v>2931</v>
      </c>
    </row>
    <row r="399" spans="1:9">
      <c r="A399" s="5" t="s">
        <v>327</v>
      </c>
      <c r="B399" s="5" t="s">
        <v>3979</v>
      </c>
      <c r="C399" t="s">
        <v>3980</v>
      </c>
      <c r="D399" t="s">
        <v>327</v>
      </c>
      <c r="E399" t="s">
        <v>327</v>
      </c>
      <c r="F399" t="s">
        <v>327</v>
      </c>
      <c r="G399" t="s">
        <v>327</v>
      </c>
      <c r="H399" t="s">
        <v>327</v>
      </c>
      <c r="I399" t="s">
        <v>2921</v>
      </c>
    </row>
    <row r="400" spans="1:9">
      <c r="A400" s="5" t="s">
        <v>327</v>
      </c>
      <c r="B400" s="5" t="s">
        <v>3981</v>
      </c>
      <c r="C400" t="s">
        <v>3982</v>
      </c>
      <c r="D400" t="s">
        <v>327</v>
      </c>
      <c r="E400" t="s">
        <v>327</v>
      </c>
      <c r="F400" t="s">
        <v>327</v>
      </c>
      <c r="G400" t="s">
        <v>327</v>
      </c>
      <c r="H400" t="s">
        <v>327</v>
      </c>
      <c r="I400" t="s">
        <v>2931</v>
      </c>
    </row>
    <row r="401" spans="1:9">
      <c r="A401" s="5" t="s">
        <v>327</v>
      </c>
      <c r="B401" s="5" t="s">
        <v>3983</v>
      </c>
      <c r="C401" t="s">
        <v>3984</v>
      </c>
      <c r="D401" t="s">
        <v>327</v>
      </c>
      <c r="E401" t="s">
        <v>327</v>
      </c>
      <c r="F401" t="s">
        <v>327</v>
      </c>
      <c r="G401" t="s">
        <v>327</v>
      </c>
      <c r="H401" t="s">
        <v>327</v>
      </c>
      <c r="I401" t="s">
        <v>2921</v>
      </c>
    </row>
    <row r="402" spans="1:9">
      <c r="A402" s="5" t="s">
        <v>327</v>
      </c>
      <c r="B402" s="5" t="s">
        <v>3985</v>
      </c>
      <c r="C402" t="s">
        <v>3986</v>
      </c>
      <c r="D402" t="s">
        <v>327</v>
      </c>
      <c r="E402" t="s">
        <v>327</v>
      </c>
      <c r="F402" t="s">
        <v>327</v>
      </c>
      <c r="G402" t="s">
        <v>327</v>
      </c>
      <c r="H402" t="s">
        <v>327</v>
      </c>
      <c r="I402" t="s">
        <v>2921</v>
      </c>
    </row>
    <row r="403" spans="1:9">
      <c r="A403" s="5" t="s">
        <v>327</v>
      </c>
      <c r="B403" s="5" t="s">
        <v>3987</v>
      </c>
      <c r="C403" t="s">
        <v>3988</v>
      </c>
      <c r="D403" t="s">
        <v>327</v>
      </c>
      <c r="E403" t="s">
        <v>327</v>
      </c>
      <c r="F403" t="s">
        <v>327</v>
      </c>
      <c r="G403" t="s">
        <v>327</v>
      </c>
      <c r="H403" t="s">
        <v>327</v>
      </c>
      <c r="I403" t="s">
        <v>2921</v>
      </c>
    </row>
    <row r="404" spans="1:9">
      <c r="A404" s="5" t="s">
        <v>327</v>
      </c>
      <c r="B404" s="5" t="s">
        <v>3989</v>
      </c>
      <c r="C404" t="s">
        <v>3990</v>
      </c>
      <c r="D404" t="s">
        <v>327</v>
      </c>
      <c r="E404" t="s">
        <v>327</v>
      </c>
      <c r="F404" t="s">
        <v>327</v>
      </c>
      <c r="G404" t="s">
        <v>327</v>
      </c>
      <c r="H404" t="s">
        <v>327</v>
      </c>
      <c r="I404" t="s">
        <v>2921</v>
      </c>
    </row>
    <row r="405" spans="1:9">
      <c r="A405" s="5" t="s">
        <v>327</v>
      </c>
      <c r="B405" s="5" t="s">
        <v>3991</v>
      </c>
      <c r="C405" t="s">
        <v>3992</v>
      </c>
      <c r="D405" t="s">
        <v>327</v>
      </c>
      <c r="E405" t="s">
        <v>327</v>
      </c>
      <c r="F405" t="s">
        <v>327</v>
      </c>
      <c r="G405" t="s">
        <v>327</v>
      </c>
      <c r="H405" t="s">
        <v>327</v>
      </c>
      <c r="I405" t="s">
        <v>2921</v>
      </c>
    </row>
    <row r="406" spans="1:9">
      <c r="A406" s="5" t="s">
        <v>327</v>
      </c>
      <c r="B406" s="5" t="s">
        <v>3993</v>
      </c>
      <c r="C406" t="s">
        <v>3994</v>
      </c>
      <c r="D406" t="s">
        <v>327</v>
      </c>
      <c r="E406" t="s">
        <v>327</v>
      </c>
      <c r="F406" t="s">
        <v>327</v>
      </c>
      <c r="G406" t="s">
        <v>327</v>
      </c>
      <c r="H406" t="s">
        <v>327</v>
      </c>
      <c r="I406" t="s">
        <v>2921</v>
      </c>
    </row>
    <row r="407" spans="1:9">
      <c r="A407" s="5" t="s">
        <v>327</v>
      </c>
      <c r="B407" s="5" t="s">
        <v>3995</v>
      </c>
      <c r="C407" t="s">
        <v>3996</v>
      </c>
      <c r="D407" t="s">
        <v>327</v>
      </c>
      <c r="E407" t="s">
        <v>327</v>
      </c>
      <c r="F407" t="s">
        <v>327</v>
      </c>
      <c r="G407" t="s">
        <v>327</v>
      </c>
      <c r="H407" t="s">
        <v>327</v>
      </c>
      <c r="I407" t="s">
        <v>2921</v>
      </c>
    </row>
    <row r="408" spans="1:9">
      <c r="A408" s="5" t="s">
        <v>327</v>
      </c>
      <c r="B408" s="5" t="s">
        <v>3997</v>
      </c>
      <c r="C408" t="s">
        <v>3998</v>
      </c>
      <c r="D408" t="s">
        <v>327</v>
      </c>
      <c r="E408" t="s">
        <v>327</v>
      </c>
      <c r="F408" t="s">
        <v>327</v>
      </c>
      <c r="G408" t="s">
        <v>327</v>
      </c>
      <c r="H408" t="s">
        <v>327</v>
      </c>
      <c r="I408" t="s">
        <v>2921</v>
      </c>
    </row>
    <row r="409" spans="1:9">
      <c r="A409" s="5" t="s">
        <v>327</v>
      </c>
      <c r="B409" s="5" t="s">
        <v>3999</v>
      </c>
      <c r="C409" t="s">
        <v>4000</v>
      </c>
      <c r="D409" t="s">
        <v>327</v>
      </c>
      <c r="E409" t="s">
        <v>327</v>
      </c>
      <c r="F409" t="s">
        <v>327</v>
      </c>
      <c r="G409" t="s">
        <v>327</v>
      </c>
      <c r="H409" t="s">
        <v>327</v>
      </c>
      <c r="I409" t="s">
        <v>2931</v>
      </c>
    </row>
    <row r="410" spans="1:9">
      <c r="A410" s="5" t="s">
        <v>327</v>
      </c>
      <c r="B410" s="5" t="s">
        <v>4001</v>
      </c>
      <c r="C410" t="s">
        <v>4002</v>
      </c>
      <c r="D410" t="s">
        <v>327</v>
      </c>
      <c r="E410" t="s">
        <v>327</v>
      </c>
      <c r="F410" t="s">
        <v>327</v>
      </c>
      <c r="G410" t="s">
        <v>327</v>
      </c>
      <c r="H410" t="s">
        <v>327</v>
      </c>
      <c r="I410" t="s">
        <v>2931</v>
      </c>
    </row>
    <row r="411" spans="1:9">
      <c r="A411" s="5" t="s">
        <v>327</v>
      </c>
      <c r="B411" s="5" t="s">
        <v>4003</v>
      </c>
      <c r="C411" t="s">
        <v>4004</v>
      </c>
      <c r="D411" t="s">
        <v>327</v>
      </c>
      <c r="E411" t="s">
        <v>327</v>
      </c>
      <c r="F411" t="s">
        <v>327</v>
      </c>
      <c r="G411" t="s">
        <v>327</v>
      </c>
      <c r="H411" t="s">
        <v>327</v>
      </c>
      <c r="I411" t="s">
        <v>2921</v>
      </c>
    </row>
    <row r="412" spans="1:9">
      <c r="A412" s="5" t="s">
        <v>327</v>
      </c>
      <c r="B412" s="5" t="s">
        <v>4005</v>
      </c>
      <c r="C412" t="s">
        <v>4006</v>
      </c>
      <c r="D412" t="s">
        <v>327</v>
      </c>
      <c r="E412" t="s">
        <v>327</v>
      </c>
      <c r="F412" t="s">
        <v>327</v>
      </c>
      <c r="G412" t="s">
        <v>327</v>
      </c>
      <c r="H412" t="s">
        <v>327</v>
      </c>
      <c r="I412" t="s">
        <v>2921</v>
      </c>
    </row>
    <row r="413" spans="1:9">
      <c r="A413" s="5" t="s">
        <v>327</v>
      </c>
      <c r="B413" s="5" t="s">
        <v>4007</v>
      </c>
      <c r="C413" t="s">
        <v>4008</v>
      </c>
      <c r="D413" t="s">
        <v>327</v>
      </c>
      <c r="E413" t="s">
        <v>327</v>
      </c>
      <c r="F413" t="s">
        <v>327</v>
      </c>
      <c r="G413" t="s">
        <v>327</v>
      </c>
      <c r="H413" t="s">
        <v>327</v>
      </c>
      <c r="I413" t="s">
        <v>2931</v>
      </c>
    </row>
    <row r="414" spans="1:9">
      <c r="A414" s="5" t="s">
        <v>327</v>
      </c>
      <c r="B414" s="5" t="s">
        <v>4009</v>
      </c>
      <c r="C414" t="s">
        <v>4010</v>
      </c>
      <c r="D414" t="s">
        <v>327</v>
      </c>
      <c r="E414" t="s">
        <v>327</v>
      </c>
      <c r="F414" t="s">
        <v>327</v>
      </c>
      <c r="G414" t="s">
        <v>327</v>
      </c>
      <c r="H414" t="s">
        <v>327</v>
      </c>
      <c r="I414" t="s">
        <v>2931</v>
      </c>
    </row>
    <row r="415" spans="1:9">
      <c r="A415" s="5" t="s">
        <v>327</v>
      </c>
      <c r="B415" s="5" t="s">
        <v>4011</v>
      </c>
      <c r="C415" t="s">
        <v>4012</v>
      </c>
      <c r="D415" t="s">
        <v>327</v>
      </c>
      <c r="E415" t="s">
        <v>327</v>
      </c>
      <c r="F415" t="s">
        <v>327</v>
      </c>
      <c r="G415" t="s">
        <v>327</v>
      </c>
      <c r="H415" t="s">
        <v>327</v>
      </c>
      <c r="I415" t="s">
        <v>2931</v>
      </c>
    </row>
    <row r="416" spans="1:9">
      <c r="A416" s="5" t="s">
        <v>327</v>
      </c>
      <c r="B416" s="5" t="s">
        <v>4013</v>
      </c>
      <c r="C416" t="s">
        <v>4014</v>
      </c>
      <c r="D416" t="s">
        <v>327</v>
      </c>
      <c r="E416" t="s">
        <v>327</v>
      </c>
      <c r="F416" t="s">
        <v>327</v>
      </c>
      <c r="G416" t="s">
        <v>327</v>
      </c>
      <c r="H416" t="s">
        <v>327</v>
      </c>
      <c r="I416" t="s">
        <v>2921</v>
      </c>
    </row>
    <row r="417" spans="1:9">
      <c r="A417" s="5" t="s">
        <v>327</v>
      </c>
      <c r="B417" s="5" t="s">
        <v>4015</v>
      </c>
      <c r="C417" t="s">
        <v>4016</v>
      </c>
      <c r="D417" t="s">
        <v>327</v>
      </c>
      <c r="E417" t="s">
        <v>327</v>
      </c>
      <c r="F417" t="s">
        <v>327</v>
      </c>
      <c r="G417" t="s">
        <v>327</v>
      </c>
      <c r="H417" t="s">
        <v>327</v>
      </c>
      <c r="I417" t="s">
        <v>2931</v>
      </c>
    </row>
    <row r="418" spans="1:9">
      <c r="A418" s="5" t="s">
        <v>327</v>
      </c>
      <c r="B418" s="5" t="s">
        <v>4017</v>
      </c>
      <c r="C418" t="s">
        <v>4018</v>
      </c>
      <c r="D418" t="s">
        <v>327</v>
      </c>
      <c r="E418" t="s">
        <v>327</v>
      </c>
      <c r="F418" t="s">
        <v>327</v>
      </c>
      <c r="G418" t="s">
        <v>327</v>
      </c>
      <c r="H418" t="s">
        <v>327</v>
      </c>
      <c r="I418" t="s">
        <v>2921</v>
      </c>
    </row>
    <row r="419" spans="1:9">
      <c r="A419" s="5" t="s">
        <v>327</v>
      </c>
      <c r="B419" s="5" t="s">
        <v>4019</v>
      </c>
      <c r="C419" t="s">
        <v>4020</v>
      </c>
      <c r="D419" t="s">
        <v>327</v>
      </c>
      <c r="E419" t="s">
        <v>327</v>
      </c>
      <c r="F419" t="s">
        <v>327</v>
      </c>
      <c r="G419" t="s">
        <v>327</v>
      </c>
      <c r="H419" t="s">
        <v>327</v>
      </c>
      <c r="I419" t="s">
        <v>2931</v>
      </c>
    </row>
    <row r="420" spans="1:9">
      <c r="A420" s="5" t="s">
        <v>327</v>
      </c>
      <c r="B420" s="5" t="s">
        <v>4021</v>
      </c>
      <c r="C420" t="s">
        <v>4022</v>
      </c>
      <c r="D420" t="s">
        <v>327</v>
      </c>
      <c r="E420" t="s">
        <v>327</v>
      </c>
      <c r="F420" t="s">
        <v>327</v>
      </c>
      <c r="G420" t="s">
        <v>327</v>
      </c>
      <c r="H420" t="s">
        <v>327</v>
      </c>
      <c r="I420" t="s">
        <v>2931</v>
      </c>
    </row>
    <row r="421" spans="1:9">
      <c r="A421" s="5" t="s">
        <v>327</v>
      </c>
      <c r="B421" s="5" t="s">
        <v>4023</v>
      </c>
      <c r="C421" t="s">
        <v>4024</v>
      </c>
      <c r="D421" t="s">
        <v>327</v>
      </c>
      <c r="E421" t="s">
        <v>327</v>
      </c>
      <c r="F421" t="s">
        <v>327</v>
      </c>
      <c r="G421" t="s">
        <v>327</v>
      </c>
      <c r="H421" t="s">
        <v>327</v>
      </c>
      <c r="I421" t="s">
        <v>2931</v>
      </c>
    </row>
    <row r="422" spans="1:9">
      <c r="A422" s="5" t="s">
        <v>327</v>
      </c>
      <c r="B422" s="5" t="s">
        <v>4025</v>
      </c>
      <c r="C422" t="s">
        <v>4026</v>
      </c>
      <c r="D422" t="s">
        <v>327</v>
      </c>
      <c r="E422" t="s">
        <v>327</v>
      </c>
      <c r="F422" t="s">
        <v>327</v>
      </c>
      <c r="G422" t="s">
        <v>327</v>
      </c>
      <c r="H422" t="s">
        <v>327</v>
      </c>
      <c r="I422" t="s">
        <v>2921</v>
      </c>
    </row>
    <row r="423" spans="1:9">
      <c r="A423" s="5" t="s">
        <v>327</v>
      </c>
      <c r="B423" s="5" t="s">
        <v>4027</v>
      </c>
      <c r="C423" t="s">
        <v>4028</v>
      </c>
      <c r="D423" t="s">
        <v>327</v>
      </c>
      <c r="E423" t="s">
        <v>327</v>
      </c>
      <c r="F423" t="s">
        <v>327</v>
      </c>
      <c r="G423" t="s">
        <v>327</v>
      </c>
      <c r="H423" t="s">
        <v>327</v>
      </c>
      <c r="I423" t="s">
        <v>2921</v>
      </c>
    </row>
    <row r="424" spans="1:9">
      <c r="A424" s="5" t="s">
        <v>327</v>
      </c>
      <c r="B424" s="5" t="s">
        <v>4029</v>
      </c>
      <c r="C424" t="s">
        <v>4030</v>
      </c>
      <c r="D424" t="s">
        <v>327</v>
      </c>
      <c r="E424" t="s">
        <v>327</v>
      </c>
      <c r="F424" t="s">
        <v>327</v>
      </c>
      <c r="G424" t="s">
        <v>327</v>
      </c>
      <c r="H424" t="s">
        <v>327</v>
      </c>
      <c r="I424" t="s">
        <v>2921</v>
      </c>
    </row>
    <row r="425" spans="1:9">
      <c r="A425" s="5" t="s">
        <v>327</v>
      </c>
      <c r="B425" s="5" t="s">
        <v>4031</v>
      </c>
      <c r="C425" t="s">
        <v>4032</v>
      </c>
      <c r="D425" t="s">
        <v>327</v>
      </c>
      <c r="E425" t="s">
        <v>327</v>
      </c>
      <c r="F425" t="s">
        <v>327</v>
      </c>
      <c r="G425" t="s">
        <v>327</v>
      </c>
      <c r="H425" t="s">
        <v>327</v>
      </c>
      <c r="I425" t="s">
        <v>2931</v>
      </c>
    </row>
    <row r="426" spans="1:9">
      <c r="A426" s="5" t="s">
        <v>327</v>
      </c>
      <c r="B426" s="5" t="s">
        <v>4033</v>
      </c>
      <c r="C426" t="s">
        <v>4034</v>
      </c>
      <c r="D426" t="s">
        <v>327</v>
      </c>
      <c r="E426" t="s">
        <v>327</v>
      </c>
      <c r="F426" t="s">
        <v>327</v>
      </c>
      <c r="G426" t="s">
        <v>327</v>
      </c>
      <c r="H426" t="s">
        <v>327</v>
      </c>
      <c r="I426" t="s">
        <v>2921</v>
      </c>
    </row>
    <row r="427" spans="1:9">
      <c r="A427" s="5" t="s">
        <v>327</v>
      </c>
      <c r="B427" s="5" t="s">
        <v>4035</v>
      </c>
      <c r="C427" t="s">
        <v>4036</v>
      </c>
      <c r="D427" t="s">
        <v>327</v>
      </c>
      <c r="E427" t="s">
        <v>327</v>
      </c>
      <c r="F427" t="s">
        <v>327</v>
      </c>
      <c r="G427" t="s">
        <v>327</v>
      </c>
      <c r="H427" t="s">
        <v>327</v>
      </c>
      <c r="I427" t="s">
        <v>2921</v>
      </c>
    </row>
    <row r="428" spans="1:9">
      <c r="A428" s="5" t="s">
        <v>327</v>
      </c>
      <c r="B428" s="5" t="s">
        <v>4037</v>
      </c>
      <c r="C428" t="s">
        <v>4038</v>
      </c>
      <c r="D428" t="s">
        <v>327</v>
      </c>
      <c r="E428" t="s">
        <v>327</v>
      </c>
      <c r="F428" t="s">
        <v>327</v>
      </c>
      <c r="G428" t="s">
        <v>327</v>
      </c>
      <c r="H428" t="s">
        <v>327</v>
      </c>
      <c r="I428" t="s">
        <v>2921</v>
      </c>
    </row>
    <row r="429" spans="1:9">
      <c r="A429" s="5" t="s">
        <v>327</v>
      </c>
      <c r="B429" s="5" t="s">
        <v>4039</v>
      </c>
      <c r="C429" t="s">
        <v>4040</v>
      </c>
      <c r="D429" t="s">
        <v>327</v>
      </c>
      <c r="E429" t="s">
        <v>327</v>
      </c>
      <c r="F429" t="s">
        <v>327</v>
      </c>
      <c r="G429" t="s">
        <v>327</v>
      </c>
      <c r="H429" t="s">
        <v>327</v>
      </c>
      <c r="I429" t="s">
        <v>2931</v>
      </c>
    </row>
    <row r="430" spans="1:9">
      <c r="A430" s="5" t="s">
        <v>327</v>
      </c>
      <c r="B430" s="5" t="s">
        <v>4041</v>
      </c>
      <c r="C430" t="s">
        <v>4042</v>
      </c>
      <c r="D430" t="s">
        <v>327</v>
      </c>
      <c r="E430" t="s">
        <v>327</v>
      </c>
      <c r="F430" t="s">
        <v>327</v>
      </c>
      <c r="G430" t="s">
        <v>327</v>
      </c>
      <c r="H430" t="s">
        <v>327</v>
      </c>
      <c r="I430" t="s">
        <v>2931</v>
      </c>
    </row>
    <row r="431" spans="1:9">
      <c r="A431" s="5" t="s">
        <v>327</v>
      </c>
      <c r="B431" s="5" t="s">
        <v>4043</v>
      </c>
      <c r="C431" t="s">
        <v>4044</v>
      </c>
      <c r="D431" t="s">
        <v>327</v>
      </c>
      <c r="E431" t="s">
        <v>327</v>
      </c>
      <c r="F431" t="s">
        <v>327</v>
      </c>
      <c r="G431" t="s">
        <v>327</v>
      </c>
      <c r="H431" t="s">
        <v>327</v>
      </c>
      <c r="I431" t="s">
        <v>2921</v>
      </c>
    </row>
    <row r="432" spans="1:9">
      <c r="A432" s="5" t="s">
        <v>327</v>
      </c>
      <c r="B432" s="5" t="s">
        <v>4045</v>
      </c>
      <c r="C432" t="s">
        <v>4046</v>
      </c>
      <c r="D432" t="s">
        <v>327</v>
      </c>
      <c r="E432" t="s">
        <v>327</v>
      </c>
      <c r="F432" t="s">
        <v>327</v>
      </c>
      <c r="G432" t="s">
        <v>327</v>
      </c>
      <c r="H432" t="s">
        <v>327</v>
      </c>
      <c r="I432" t="s">
        <v>2921</v>
      </c>
    </row>
    <row r="433" spans="1:9">
      <c r="A433" s="5" t="s">
        <v>327</v>
      </c>
      <c r="B433" s="5" t="s">
        <v>4047</v>
      </c>
      <c r="C433" t="s">
        <v>4048</v>
      </c>
      <c r="D433" t="s">
        <v>327</v>
      </c>
      <c r="E433" t="s">
        <v>327</v>
      </c>
      <c r="F433" t="s">
        <v>327</v>
      </c>
      <c r="G433" t="s">
        <v>327</v>
      </c>
      <c r="H433" t="s">
        <v>327</v>
      </c>
      <c r="I433" t="s">
        <v>2931</v>
      </c>
    </row>
    <row r="434" spans="1:9">
      <c r="A434" s="5" t="s">
        <v>327</v>
      </c>
      <c r="B434" s="5" t="s">
        <v>4049</v>
      </c>
      <c r="C434" t="s">
        <v>4050</v>
      </c>
      <c r="D434" t="s">
        <v>327</v>
      </c>
      <c r="E434" t="s">
        <v>327</v>
      </c>
      <c r="F434" t="s">
        <v>327</v>
      </c>
      <c r="G434" t="s">
        <v>327</v>
      </c>
      <c r="H434" t="s">
        <v>327</v>
      </c>
      <c r="I434" t="s">
        <v>2921</v>
      </c>
    </row>
    <row r="435" spans="1:9">
      <c r="A435" s="5" t="s">
        <v>327</v>
      </c>
      <c r="B435" s="5" t="s">
        <v>4051</v>
      </c>
      <c r="C435" t="s">
        <v>4052</v>
      </c>
      <c r="D435" t="s">
        <v>327</v>
      </c>
      <c r="E435" t="s">
        <v>327</v>
      </c>
      <c r="F435" t="s">
        <v>327</v>
      </c>
      <c r="G435" t="s">
        <v>327</v>
      </c>
      <c r="H435" t="s">
        <v>327</v>
      </c>
      <c r="I435" t="s">
        <v>2921</v>
      </c>
    </row>
    <row r="436" spans="1:9">
      <c r="A436" s="5" t="s">
        <v>327</v>
      </c>
      <c r="B436" s="5" t="s">
        <v>4053</v>
      </c>
      <c r="C436" t="s">
        <v>4054</v>
      </c>
      <c r="D436" t="s">
        <v>327</v>
      </c>
      <c r="E436" t="s">
        <v>327</v>
      </c>
      <c r="F436" t="s">
        <v>327</v>
      </c>
      <c r="G436" t="s">
        <v>327</v>
      </c>
      <c r="H436" t="s">
        <v>327</v>
      </c>
      <c r="I436" t="s">
        <v>2931</v>
      </c>
    </row>
    <row r="437" spans="1:9">
      <c r="A437" s="5" t="s">
        <v>327</v>
      </c>
      <c r="B437" s="5" t="s">
        <v>4055</v>
      </c>
      <c r="C437" t="s">
        <v>4056</v>
      </c>
      <c r="D437" t="s">
        <v>327</v>
      </c>
      <c r="E437" t="s">
        <v>327</v>
      </c>
      <c r="F437" t="s">
        <v>327</v>
      </c>
      <c r="G437" t="s">
        <v>327</v>
      </c>
      <c r="H437" t="s">
        <v>327</v>
      </c>
      <c r="I437" t="s">
        <v>4057</v>
      </c>
    </row>
    <row r="438" spans="1:9">
      <c r="A438" s="5" t="s">
        <v>327</v>
      </c>
      <c r="B438" s="5" t="s">
        <v>4058</v>
      </c>
      <c r="C438" t="s">
        <v>4059</v>
      </c>
      <c r="D438" t="s">
        <v>327</v>
      </c>
      <c r="E438" t="s">
        <v>327</v>
      </c>
      <c r="F438" t="s">
        <v>327</v>
      </c>
      <c r="G438" t="s">
        <v>327</v>
      </c>
      <c r="H438" t="s">
        <v>327</v>
      </c>
      <c r="I438" t="s">
        <v>2921</v>
      </c>
    </row>
    <row r="439" spans="1:9">
      <c r="A439" s="5" t="s">
        <v>327</v>
      </c>
      <c r="B439" s="5" t="s">
        <v>4060</v>
      </c>
      <c r="C439" t="s">
        <v>4061</v>
      </c>
      <c r="D439" t="s">
        <v>327</v>
      </c>
      <c r="E439" t="s">
        <v>327</v>
      </c>
      <c r="F439" t="s">
        <v>327</v>
      </c>
      <c r="G439" t="s">
        <v>327</v>
      </c>
      <c r="H439" t="s">
        <v>327</v>
      </c>
      <c r="I439" t="s">
        <v>2931</v>
      </c>
    </row>
    <row r="440" spans="1:9">
      <c r="A440" s="5" t="s">
        <v>327</v>
      </c>
      <c r="B440" s="5" t="s">
        <v>4062</v>
      </c>
      <c r="C440" t="s">
        <v>4063</v>
      </c>
      <c r="D440" t="s">
        <v>327</v>
      </c>
      <c r="E440" t="s">
        <v>327</v>
      </c>
      <c r="F440" t="s">
        <v>327</v>
      </c>
      <c r="G440" t="s">
        <v>327</v>
      </c>
      <c r="H440" t="s">
        <v>327</v>
      </c>
      <c r="I440" t="s">
        <v>2921</v>
      </c>
    </row>
    <row r="441" spans="1:9">
      <c r="A441" s="5" t="s">
        <v>327</v>
      </c>
      <c r="B441" s="5" t="s">
        <v>4064</v>
      </c>
      <c r="C441" t="s">
        <v>4065</v>
      </c>
      <c r="D441" t="s">
        <v>327</v>
      </c>
      <c r="E441" t="s">
        <v>327</v>
      </c>
      <c r="F441" t="s">
        <v>327</v>
      </c>
      <c r="G441" t="s">
        <v>327</v>
      </c>
      <c r="H441" t="s">
        <v>327</v>
      </c>
      <c r="I441" t="s">
        <v>2931</v>
      </c>
    </row>
    <row r="442" spans="1:9">
      <c r="A442" s="5" t="s">
        <v>327</v>
      </c>
      <c r="B442" s="5" t="s">
        <v>4066</v>
      </c>
      <c r="C442" t="s">
        <v>4067</v>
      </c>
      <c r="D442" t="s">
        <v>327</v>
      </c>
      <c r="E442" t="s">
        <v>327</v>
      </c>
      <c r="F442" t="s">
        <v>327</v>
      </c>
      <c r="G442" t="s">
        <v>327</v>
      </c>
      <c r="H442" t="s">
        <v>327</v>
      </c>
      <c r="I442" t="s">
        <v>2931</v>
      </c>
    </row>
    <row r="443" spans="1:9">
      <c r="A443" s="5" t="s">
        <v>327</v>
      </c>
      <c r="B443" s="5" t="s">
        <v>4068</v>
      </c>
      <c r="C443" t="s">
        <v>4069</v>
      </c>
      <c r="D443" t="s">
        <v>327</v>
      </c>
      <c r="E443" t="s">
        <v>327</v>
      </c>
      <c r="F443" t="s">
        <v>327</v>
      </c>
      <c r="G443" t="s">
        <v>327</v>
      </c>
      <c r="H443" t="s">
        <v>327</v>
      </c>
      <c r="I443" t="s">
        <v>2921</v>
      </c>
    </row>
    <row r="444" spans="1:9">
      <c r="A444" s="5" t="s">
        <v>327</v>
      </c>
      <c r="B444" s="5" t="s">
        <v>4070</v>
      </c>
      <c r="C444" t="s">
        <v>4071</v>
      </c>
      <c r="D444" t="s">
        <v>327</v>
      </c>
      <c r="E444" t="s">
        <v>327</v>
      </c>
      <c r="F444" t="s">
        <v>327</v>
      </c>
      <c r="G444" t="s">
        <v>327</v>
      </c>
      <c r="H444" t="s">
        <v>327</v>
      </c>
      <c r="I444" t="s">
        <v>2921</v>
      </c>
    </row>
    <row r="445" spans="1:9">
      <c r="A445" s="5" t="s">
        <v>327</v>
      </c>
      <c r="B445" s="5" t="s">
        <v>4072</v>
      </c>
      <c r="C445" t="s">
        <v>4073</v>
      </c>
      <c r="D445" t="s">
        <v>327</v>
      </c>
      <c r="E445" t="s">
        <v>327</v>
      </c>
      <c r="F445" t="s">
        <v>327</v>
      </c>
      <c r="G445" t="s">
        <v>327</v>
      </c>
      <c r="H445" t="s">
        <v>327</v>
      </c>
      <c r="I445" t="s">
        <v>2931</v>
      </c>
    </row>
    <row r="446" spans="1:9">
      <c r="A446" s="5" t="s">
        <v>327</v>
      </c>
      <c r="B446" s="5" t="s">
        <v>4074</v>
      </c>
      <c r="C446" t="s">
        <v>4075</v>
      </c>
      <c r="D446" t="s">
        <v>327</v>
      </c>
      <c r="E446" t="s">
        <v>327</v>
      </c>
      <c r="F446" t="s">
        <v>327</v>
      </c>
      <c r="G446" t="s">
        <v>327</v>
      </c>
      <c r="H446" t="s">
        <v>327</v>
      </c>
      <c r="I446" t="s">
        <v>2931</v>
      </c>
    </row>
    <row r="447" spans="1:9">
      <c r="A447" s="5" t="s">
        <v>327</v>
      </c>
      <c r="B447" s="5" t="s">
        <v>4076</v>
      </c>
      <c r="C447" t="s">
        <v>4077</v>
      </c>
      <c r="D447" t="s">
        <v>327</v>
      </c>
      <c r="E447" t="s">
        <v>327</v>
      </c>
      <c r="F447" t="s">
        <v>327</v>
      </c>
      <c r="G447" t="s">
        <v>327</v>
      </c>
      <c r="H447" t="s">
        <v>327</v>
      </c>
      <c r="I447" t="s">
        <v>2931</v>
      </c>
    </row>
    <row r="448" spans="1:9">
      <c r="A448" s="5" t="s">
        <v>327</v>
      </c>
      <c r="B448" s="5" t="s">
        <v>4078</v>
      </c>
      <c r="C448" t="s">
        <v>4079</v>
      </c>
      <c r="D448" t="s">
        <v>327</v>
      </c>
      <c r="E448" t="s">
        <v>327</v>
      </c>
      <c r="F448" t="s">
        <v>327</v>
      </c>
      <c r="G448" t="s">
        <v>327</v>
      </c>
      <c r="H448" t="s">
        <v>327</v>
      </c>
      <c r="I448" t="s">
        <v>2921</v>
      </c>
    </row>
    <row r="449" spans="1:9">
      <c r="A449" s="5" t="s">
        <v>327</v>
      </c>
      <c r="B449" s="5" t="s">
        <v>4080</v>
      </c>
      <c r="C449" t="s">
        <v>4081</v>
      </c>
      <c r="D449" t="s">
        <v>327</v>
      </c>
      <c r="E449" t="s">
        <v>327</v>
      </c>
      <c r="F449" t="s">
        <v>327</v>
      </c>
      <c r="G449" t="s">
        <v>327</v>
      </c>
      <c r="H449" t="s">
        <v>327</v>
      </c>
      <c r="I449" t="s">
        <v>2921</v>
      </c>
    </row>
    <row r="450" spans="1:9">
      <c r="A450" s="5" t="s">
        <v>327</v>
      </c>
      <c r="B450" s="5" t="s">
        <v>4082</v>
      </c>
      <c r="C450" t="s">
        <v>4083</v>
      </c>
      <c r="D450" t="s">
        <v>327</v>
      </c>
      <c r="E450" t="s">
        <v>327</v>
      </c>
      <c r="F450" t="s">
        <v>327</v>
      </c>
      <c r="G450" t="s">
        <v>327</v>
      </c>
      <c r="H450" t="s">
        <v>327</v>
      </c>
      <c r="I450" t="s">
        <v>2931</v>
      </c>
    </row>
    <row r="451" spans="1:9">
      <c r="A451" s="5" t="s">
        <v>327</v>
      </c>
      <c r="B451" s="5" t="s">
        <v>4084</v>
      </c>
      <c r="C451" t="s">
        <v>4085</v>
      </c>
      <c r="D451" t="s">
        <v>327</v>
      </c>
      <c r="E451" t="s">
        <v>327</v>
      </c>
      <c r="F451" t="s">
        <v>327</v>
      </c>
      <c r="G451" t="s">
        <v>327</v>
      </c>
      <c r="H451" t="s">
        <v>327</v>
      </c>
      <c r="I451" t="s">
        <v>2921</v>
      </c>
    </row>
    <row r="452" spans="1:9">
      <c r="A452" s="5" t="s">
        <v>327</v>
      </c>
      <c r="B452" s="5" t="s">
        <v>4086</v>
      </c>
      <c r="C452" t="s">
        <v>4087</v>
      </c>
      <c r="D452" t="s">
        <v>327</v>
      </c>
      <c r="E452" t="s">
        <v>327</v>
      </c>
      <c r="F452" t="s">
        <v>327</v>
      </c>
      <c r="G452" t="s">
        <v>327</v>
      </c>
      <c r="H452" t="s">
        <v>327</v>
      </c>
      <c r="I452" t="s">
        <v>2921</v>
      </c>
    </row>
    <row r="453" spans="1:9">
      <c r="A453" s="5" t="s">
        <v>327</v>
      </c>
      <c r="B453" s="5" t="s">
        <v>4088</v>
      </c>
      <c r="C453" t="s">
        <v>4089</v>
      </c>
      <c r="D453" t="s">
        <v>327</v>
      </c>
      <c r="E453" t="s">
        <v>327</v>
      </c>
      <c r="F453" t="s">
        <v>327</v>
      </c>
      <c r="G453" t="s">
        <v>327</v>
      </c>
      <c r="H453" t="s">
        <v>327</v>
      </c>
      <c r="I453" t="s">
        <v>2921</v>
      </c>
    </row>
    <row r="454" spans="1:9">
      <c r="A454" s="5" t="s">
        <v>327</v>
      </c>
      <c r="B454" s="5" t="s">
        <v>4090</v>
      </c>
      <c r="C454" t="s">
        <v>4091</v>
      </c>
      <c r="D454" t="s">
        <v>327</v>
      </c>
      <c r="E454" t="s">
        <v>327</v>
      </c>
      <c r="F454" t="s">
        <v>327</v>
      </c>
      <c r="G454" t="s">
        <v>327</v>
      </c>
      <c r="H454" t="s">
        <v>327</v>
      </c>
      <c r="I454" t="s">
        <v>2921</v>
      </c>
    </row>
    <row r="455" spans="1:9">
      <c r="A455" s="5" t="s">
        <v>327</v>
      </c>
      <c r="B455" s="5" t="s">
        <v>4092</v>
      </c>
      <c r="C455" t="s">
        <v>4093</v>
      </c>
      <c r="D455" t="s">
        <v>327</v>
      </c>
      <c r="E455" t="s">
        <v>327</v>
      </c>
      <c r="F455" t="s">
        <v>327</v>
      </c>
      <c r="G455" t="s">
        <v>327</v>
      </c>
      <c r="H455" t="s">
        <v>327</v>
      </c>
      <c r="I455" t="s">
        <v>2931</v>
      </c>
    </row>
    <row r="456" spans="1:9">
      <c r="A456" s="5" t="s">
        <v>327</v>
      </c>
      <c r="B456" s="5" t="s">
        <v>4094</v>
      </c>
      <c r="C456" t="s">
        <v>4095</v>
      </c>
      <c r="D456" t="s">
        <v>327</v>
      </c>
      <c r="E456" t="s">
        <v>327</v>
      </c>
      <c r="F456" t="s">
        <v>327</v>
      </c>
      <c r="G456" t="s">
        <v>327</v>
      </c>
      <c r="H456" t="s">
        <v>327</v>
      </c>
      <c r="I456" t="s">
        <v>2931</v>
      </c>
    </row>
    <row r="457" spans="1:9">
      <c r="A457" s="5" t="s">
        <v>327</v>
      </c>
      <c r="B457" s="5" t="s">
        <v>4096</v>
      </c>
      <c r="C457" t="s">
        <v>4097</v>
      </c>
      <c r="D457" t="s">
        <v>327</v>
      </c>
      <c r="E457" t="s">
        <v>327</v>
      </c>
      <c r="F457" t="s">
        <v>327</v>
      </c>
      <c r="G457" t="s">
        <v>327</v>
      </c>
      <c r="H457" t="s">
        <v>327</v>
      </c>
      <c r="I457" t="s">
        <v>2931</v>
      </c>
    </row>
    <row r="458" spans="1:9">
      <c r="A458" s="5" t="s">
        <v>327</v>
      </c>
      <c r="B458" s="5" t="s">
        <v>4098</v>
      </c>
      <c r="C458" t="s">
        <v>4099</v>
      </c>
      <c r="D458" t="s">
        <v>327</v>
      </c>
      <c r="E458" t="s">
        <v>327</v>
      </c>
      <c r="F458" t="s">
        <v>327</v>
      </c>
      <c r="G458" t="s">
        <v>327</v>
      </c>
      <c r="H458" t="s">
        <v>327</v>
      </c>
      <c r="I458" t="s">
        <v>2931</v>
      </c>
    </row>
    <row r="459" spans="1:9">
      <c r="A459" s="5" t="s">
        <v>327</v>
      </c>
      <c r="B459" s="5" t="s">
        <v>4100</v>
      </c>
      <c r="C459" t="s">
        <v>4101</v>
      </c>
      <c r="D459" t="s">
        <v>327</v>
      </c>
      <c r="E459" t="s">
        <v>327</v>
      </c>
      <c r="F459" t="s">
        <v>327</v>
      </c>
      <c r="G459" t="s">
        <v>327</v>
      </c>
      <c r="H459" t="s">
        <v>327</v>
      </c>
      <c r="I459" t="s">
        <v>2921</v>
      </c>
    </row>
    <row r="460" spans="1:9">
      <c r="A460" s="5" t="s">
        <v>327</v>
      </c>
      <c r="B460" s="5" t="s">
        <v>4102</v>
      </c>
      <c r="C460" t="s">
        <v>4103</v>
      </c>
      <c r="D460" t="s">
        <v>327</v>
      </c>
      <c r="E460" t="s">
        <v>327</v>
      </c>
      <c r="F460" t="s">
        <v>327</v>
      </c>
      <c r="G460" t="s">
        <v>327</v>
      </c>
      <c r="H460" t="s">
        <v>327</v>
      </c>
      <c r="I460" t="s">
        <v>2921</v>
      </c>
    </row>
    <row r="461" spans="1:9">
      <c r="A461" s="5" t="s">
        <v>327</v>
      </c>
      <c r="B461" s="5" t="s">
        <v>4104</v>
      </c>
      <c r="C461" t="s">
        <v>4105</v>
      </c>
      <c r="D461" t="s">
        <v>327</v>
      </c>
      <c r="E461" t="s">
        <v>327</v>
      </c>
      <c r="F461" t="s">
        <v>327</v>
      </c>
      <c r="G461" t="s">
        <v>327</v>
      </c>
      <c r="H461" t="s">
        <v>327</v>
      </c>
      <c r="I461" t="s">
        <v>2921</v>
      </c>
    </row>
    <row r="462" spans="1:9">
      <c r="A462" s="5" t="s">
        <v>327</v>
      </c>
      <c r="B462" s="5" t="s">
        <v>4106</v>
      </c>
      <c r="C462" t="s">
        <v>4107</v>
      </c>
      <c r="D462" t="s">
        <v>327</v>
      </c>
      <c r="E462" t="s">
        <v>327</v>
      </c>
      <c r="F462" t="s">
        <v>327</v>
      </c>
      <c r="G462" t="s">
        <v>327</v>
      </c>
      <c r="H462" t="s">
        <v>327</v>
      </c>
      <c r="I462" t="s">
        <v>2931</v>
      </c>
    </row>
    <row r="463" spans="1:9">
      <c r="A463" s="5" t="s">
        <v>327</v>
      </c>
      <c r="B463" s="5" t="s">
        <v>4108</v>
      </c>
      <c r="C463" t="s">
        <v>4109</v>
      </c>
      <c r="D463" t="s">
        <v>327</v>
      </c>
      <c r="E463" t="s">
        <v>327</v>
      </c>
      <c r="F463" t="s">
        <v>327</v>
      </c>
      <c r="G463" t="s">
        <v>327</v>
      </c>
      <c r="H463" t="s">
        <v>327</v>
      </c>
      <c r="I463" t="s">
        <v>2921</v>
      </c>
    </row>
    <row r="464" spans="1:9">
      <c r="A464" s="5" t="s">
        <v>327</v>
      </c>
      <c r="B464" s="5" t="s">
        <v>4110</v>
      </c>
      <c r="C464" t="s">
        <v>4111</v>
      </c>
      <c r="D464" t="s">
        <v>327</v>
      </c>
      <c r="E464" t="s">
        <v>327</v>
      </c>
      <c r="F464" t="s">
        <v>327</v>
      </c>
      <c r="G464" t="s">
        <v>327</v>
      </c>
      <c r="H464" t="s">
        <v>327</v>
      </c>
      <c r="I464" t="s">
        <v>2931</v>
      </c>
    </row>
    <row r="465" spans="1:9">
      <c r="A465" s="5" t="s">
        <v>327</v>
      </c>
      <c r="B465" s="5" t="s">
        <v>4112</v>
      </c>
      <c r="C465" t="s">
        <v>4113</v>
      </c>
      <c r="D465" t="s">
        <v>327</v>
      </c>
      <c r="E465" t="s">
        <v>327</v>
      </c>
      <c r="F465" t="s">
        <v>327</v>
      </c>
      <c r="G465" t="s">
        <v>327</v>
      </c>
      <c r="H465" t="s">
        <v>327</v>
      </c>
      <c r="I465" t="s">
        <v>2931</v>
      </c>
    </row>
    <row r="466" spans="1:9">
      <c r="A466" s="5" t="s">
        <v>327</v>
      </c>
      <c r="B466" s="5" t="s">
        <v>4114</v>
      </c>
      <c r="C466" t="s">
        <v>4115</v>
      </c>
      <c r="D466" t="s">
        <v>327</v>
      </c>
      <c r="E466" t="s">
        <v>327</v>
      </c>
      <c r="F466" t="s">
        <v>327</v>
      </c>
      <c r="G466" t="s">
        <v>327</v>
      </c>
      <c r="H466" t="s">
        <v>327</v>
      </c>
      <c r="I466" t="s">
        <v>2931</v>
      </c>
    </row>
    <row r="467" spans="1:9">
      <c r="A467" s="5" t="s">
        <v>327</v>
      </c>
      <c r="B467" s="5" t="s">
        <v>4116</v>
      </c>
      <c r="C467" t="s">
        <v>4117</v>
      </c>
      <c r="D467" t="s">
        <v>327</v>
      </c>
      <c r="E467" t="s">
        <v>327</v>
      </c>
      <c r="F467" t="s">
        <v>327</v>
      </c>
      <c r="G467" t="s">
        <v>327</v>
      </c>
      <c r="H467" t="s">
        <v>327</v>
      </c>
      <c r="I467" t="s">
        <v>2921</v>
      </c>
    </row>
    <row r="468" spans="1:9">
      <c r="A468" s="5" t="s">
        <v>327</v>
      </c>
      <c r="B468" s="5" t="s">
        <v>4118</v>
      </c>
      <c r="C468" t="s">
        <v>4119</v>
      </c>
      <c r="D468" t="s">
        <v>327</v>
      </c>
      <c r="E468" t="s">
        <v>327</v>
      </c>
      <c r="F468" t="s">
        <v>327</v>
      </c>
      <c r="G468" t="s">
        <v>327</v>
      </c>
      <c r="H468" t="s">
        <v>327</v>
      </c>
      <c r="I468" t="s">
        <v>2921</v>
      </c>
    </row>
    <row r="469" spans="1:9">
      <c r="A469" s="5" t="s">
        <v>327</v>
      </c>
      <c r="B469" s="5" t="s">
        <v>4120</v>
      </c>
      <c r="C469" t="s">
        <v>4121</v>
      </c>
      <c r="D469" t="s">
        <v>327</v>
      </c>
      <c r="E469" t="s">
        <v>327</v>
      </c>
      <c r="F469" t="s">
        <v>327</v>
      </c>
      <c r="G469" t="s">
        <v>327</v>
      </c>
      <c r="H469" t="s">
        <v>327</v>
      </c>
      <c r="I469" t="s">
        <v>2931</v>
      </c>
    </row>
    <row r="470" spans="1:9">
      <c r="A470" s="5" t="s">
        <v>327</v>
      </c>
      <c r="B470" s="5" t="s">
        <v>4122</v>
      </c>
      <c r="C470" t="s">
        <v>4123</v>
      </c>
      <c r="D470" t="s">
        <v>327</v>
      </c>
      <c r="E470" t="s">
        <v>327</v>
      </c>
      <c r="F470" t="s">
        <v>327</v>
      </c>
      <c r="G470" t="s">
        <v>327</v>
      </c>
      <c r="H470" t="s">
        <v>327</v>
      </c>
      <c r="I470" t="s">
        <v>2931</v>
      </c>
    </row>
    <row r="471" spans="1:9">
      <c r="A471" s="5" t="s">
        <v>327</v>
      </c>
      <c r="B471" s="5" t="s">
        <v>4124</v>
      </c>
      <c r="C471" t="s">
        <v>4125</v>
      </c>
      <c r="D471" t="s">
        <v>327</v>
      </c>
      <c r="E471" t="s">
        <v>327</v>
      </c>
      <c r="F471" t="s">
        <v>327</v>
      </c>
      <c r="G471" t="s">
        <v>327</v>
      </c>
      <c r="H471" t="s">
        <v>327</v>
      </c>
      <c r="I471" t="s">
        <v>2921</v>
      </c>
    </row>
    <row r="472" spans="1:9">
      <c r="A472" s="5" t="s">
        <v>327</v>
      </c>
      <c r="B472" s="5" t="s">
        <v>4126</v>
      </c>
      <c r="C472" t="s">
        <v>4127</v>
      </c>
      <c r="D472" t="s">
        <v>327</v>
      </c>
      <c r="E472" t="s">
        <v>327</v>
      </c>
      <c r="F472" t="s">
        <v>327</v>
      </c>
      <c r="G472" t="s">
        <v>327</v>
      </c>
      <c r="H472" t="s">
        <v>327</v>
      </c>
      <c r="I472" t="s">
        <v>2921</v>
      </c>
    </row>
    <row r="473" spans="1:9">
      <c r="A473" s="5" t="s">
        <v>327</v>
      </c>
      <c r="B473" s="5" t="s">
        <v>4128</v>
      </c>
      <c r="C473" t="s">
        <v>4129</v>
      </c>
      <c r="D473" t="s">
        <v>327</v>
      </c>
      <c r="E473" t="s">
        <v>327</v>
      </c>
      <c r="F473" t="s">
        <v>327</v>
      </c>
      <c r="G473" t="s">
        <v>327</v>
      </c>
      <c r="H473" t="s">
        <v>327</v>
      </c>
      <c r="I473" t="s">
        <v>2931</v>
      </c>
    </row>
    <row r="474" spans="1:9">
      <c r="A474" s="5" t="s">
        <v>327</v>
      </c>
      <c r="B474" s="5" t="s">
        <v>4130</v>
      </c>
      <c r="C474" t="s">
        <v>4131</v>
      </c>
      <c r="D474" t="s">
        <v>327</v>
      </c>
      <c r="E474" t="s">
        <v>327</v>
      </c>
      <c r="F474" t="s">
        <v>327</v>
      </c>
      <c r="G474" t="s">
        <v>327</v>
      </c>
      <c r="H474" t="s">
        <v>327</v>
      </c>
      <c r="I474" t="s">
        <v>2931</v>
      </c>
    </row>
    <row r="475" spans="1:9">
      <c r="A475" s="5" t="s">
        <v>327</v>
      </c>
      <c r="B475" s="5" t="s">
        <v>4132</v>
      </c>
      <c r="C475" t="s">
        <v>4133</v>
      </c>
      <c r="D475" t="s">
        <v>327</v>
      </c>
      <c r="E475" t="s">
        <v>327</v>
      </c>
      <c r="F475" t="s">
        <v>327</v>
      </c>
      <c r="G475" t="s">
        <v>327</v>
      </c>
      <c r="H475" t="s">
        <v>327</v>
      </c>
      <c r="I475" t="s">
        <v>2931</v>
      </c>
    </row>
    <row r="476" spans="1:9">
      <c r="A476" s="5" t="s">
        <v>327</v>
      </c>
      <c r="B476" s="5" t="s">
        <v>4134</v>
      </c>
      <c r="C476" t="s">
        <v>4135</v>
      </c>
      <c r="D476" t="s">
        <v>327</v>
      </c>
      <c r="E476" t="s">
        <v>327</v>
      </c>
      <c r="F476" t="s">
        <v>327</v>
      </c>
      <c r="G476" t="s">
        <v>327</v>
      </c>
      <c r="H476" t="s">
        <v>327</v>
      </c>
      <c r="I476" t="s">
        <v>2921</v>
      </c>
    </row>
    <row r="477" spans="1:9">
      <c r="A477" s="5" t="s">
        <v>327</v>
      </c>
      <c r="B477" s="5" t="s">
        <v>4136</v>
      </c>
      <c r="C477" t="s">
        <v>4137</v>
      </c>
      <c r="D477" t="s">
        <v>327</v>
      </c>
      <c r="E477" t="s">
        <v>327</v>
      </c>
      <c r="F477" t="s">
        <v>327</v>
      </c>
      <c r="G477" t="s">
        <v>327</v>
      </c>
      <c r="H477" t="s">
        <v>327</v>
      </c>
      <c r="I477" t="s">
        <v>2921</v>
      </c>
    </row>
    <row r="478" spans="1:9">
      <c r="A478" s="5" t="s">
        <v>327</v>
      </c>
      <c r="B478" s="5" t="s">
        <v>4138</v>
      </c>
      <c r="C478" t="s">
        <v>4139</v>
      </c>
      <c r="D478" t="s">
        <v>327</v>
      </c>
      <c r="E478" t="s">
        <v>327</v>
      </c>
      <c r="F478" t="s">
        <v>327</v>
      </c>
      <c r="G478" t="s">
        <v>327</v>
      </c>
      <c r="H478" t="s">
        <v>327</v>
      </c>
      <c r="I478" t="s">
        <v>2931</v>
      </c>
    </row>
    <row r="479" spans="1:9">
      <c r="A479" s="5" t="s">
        <v>327</v>
      </c>
      <c r="B479" s="5" t="s">
        <v>4140</v>
      </c>
      <c r="C479" t="s">
        <v>4141</v>
      </c>
      <c r="D479" t="s">
        <v>327</v>
      </c>
      <c r="E479" t="s">
        <v>327</v>
      </c>
      <c r="F479" t="s">
        <v>327</v>
      </c>
      <c r="G479" t="s">
        <v>327</v>
      </c>
      <c r="H479" t="s">
        <v>327</v>
      </c>
      <c r="I479" t="s">
        <v>2921</v>
      </c>
    </row>
    <row r="480" spans="1:9">
      <c r="A480" s="5" t="s">
        <v>327</v>
      </c>
      <c r="B480" s="5" t="s">
        <v>4142</v>
      </c>
      <c r="C480" t="s">
        <v>4143</v>
      </c>
      <c r="D480" t="s">
        <v>327</v>
      </c>
      <c r="E480" t="s">
        <v>327</v>
      </c>
      <c r="F480" t="s">
        <v>327</v>
      </c>
      <c r="G480" t="s">
        <v>327</v>
      </c>
      <c r="H480" t="s">
        <v>327</v>
      </c>
      <c r="I480" t="s">
        <v>2931</v>
      </c>
    </row>
    <row r="481" spans="1:9">
      <c r="A481" s="5" t="s">
        <v>327</v>
      </c>
      <c r="B481" s="5" t="s">
        <v>4144</v>
      </c>
      <c r="C481" t="s">
        <v>4145</v>
      </c>
      <c r="D481" t="s">
        <v>327</v>
      </c>
      <c r="E481" t="s">
        <v>327</v>
      </c>
      <c r="F481" t="s">
        <v>327</v>
      </c>
      <c r="G481" t="s">
        <v>327</v>
      </c>
      <c r="H481" t="s">
        <v>327</v>
      </c>
      <c r="I481" t="s">
        <v>2931</v>
      </c>
    </row>
    <row r="482" spans="1:9">
      <c r="A482" s="5" t="s">
        <v>327</v>
      </c>
      <c r="B482" s="5" t="s">
        <v>4146</v>
      </c>
      <c r="C482" t="s">
        <v>4147</v>
      </c>
      <c r="D482" t="s">
        <v>327</v>
      </c>
      <c r="E482" t="s">
        <v>327</v>
      </c>
      <c r="F482" t="s">
        <v>327</v>
      </c>
      <c r="G482" t="s">
        <v>327</v>
      </c>
      <c r="H482" t="s">
        <v>327</v>
      </c>
      <c r="I482" t="s">
        <v>2921</v>
      </c>
    </row>
    <row r="483" spans="1:9">
      <c r="A483" s="5" t="s">
        <v>327</v>
      </c>
      <c r="B483" s="5" t="s">
        <v>4148</v>
      </c>
      <c r="C483" t="s">
        <v>4149</v>
      </c>
      <c r="D483" t="s">
        <v>327</v>
      </c>
      <c r="E483" t="s">
        <v>327</v>
      </c>
      <c r="F483" t="s">
        <v>327</v>
      </c>
      <c r="G483" t="s">
        <v>327</v>
      </c>
      <c r="H483" t="s">
        <v>327</v>
      </c>
      <c r="I483" t="s">
        <v>2921</v>
      </c>
    </row>
    <row r="484" spans="1:9" ht="29.1">
      <c r="A484" s="5" t="s">
        <v>327</v>
      </c>
      <c r="B484" s="5" t="s">
        <v>4150</v>
      </c>
      <c r="C484" t="s">
        <v>4151</v>
      </c>
      <c r="D484" t="s">
        <v>327</v>
      </c>
      <c r="E484" t="s">
        <v>327</v>
      </c>
      <c r="F484" t="s">
        <v>327</v>
      </c>
      <c r="G484" t="s">
        <v>327</v>
      </c>
      <c r="H484" t="s">
        <v>327</v>
      </c>
      <c r="I484" t="s">
        <v>2921</v>
      </c>
    </row>
    <row r="485" spans="1:9">
      <c r="A485" s="5" t="s">
        <v>327</v>
      </c>
      <c r="B485" s="5" t="s">
        <v>4152</v>
      </c>
      <c r="C485" t="s">
        <v>4153</v>
      </c>
      <c r="D485" t="s">
        <v>327</v>
      </c>
      <c r="E485" t="s">
        <v>327</v>
      </c>
      <c r="F485" t="s">
        <v>327</v>
      </c>
      <c r="G485" t="s">
        <v>327</v>
      </c>
      <c r="H485" t="s">
        <v>327</v>
      </c>
      <c r="I485" t="s">
        <v>2921</v>
      </c>
    </row>
    <row r="486" spans="1:9">
      <c r="A486" s="5" t="s">
        <v>327</v>
      </c>
      <c r="B486" s="5" t="s">
        <v>4154</v>
      </c>
      <c r="C486" t="s">
        <v>4155</v>
      </c>
      <c r="D486" t="s">
        <v>327</v>
      </c>
      <c r="E486" t="s">
        <v>327</v>
      </c>
      <c r="F486" t="s">
        <v>327</v>
      </c>
      <c r="G486" t="s">
        <v>327</v>
      </c>
      <c r="H486" t="s">
        <v>327</v>
      </c>
      <c r="I486" t="s">
        <v>2921</v>
      </c>
    </row>
    <row r="487" spans="1:9">
      <c r="A487" s="5" t="s">
        <v>327</v>
      </c>
      <c r="B487" s="5" t="s">
        <v>4156</v>
      </c>
      <c r="C487" t="s">
        <v>4157</v>
      </c>
      <c r="D487" t="s">
        <v>327</v>
      </c>
      <c r="E487" t="s">
        <v>327</v>
      </c>
      <c r="F487" t="s">
        <v>327</v>
      </c>
      <c r="G487" t="s">
        <v>327</v>
      </c>
      <c r="H487" t="s">
        <v>327</v>
      </c>
      <c r="I487" t="s">
        <v>2921</v>
      </c>
    </row>
    <row r="488" spans="1:9">
      <c r="A488" s="5" t="s">
        <v>327</v>
      </c>
      <c r="B488" s="5" t="s">
        <v>4158</v>
      </c>
      <c r="C488" t="s">
        <v>4159</v>
      </c>
      <c r="D488" t="s">
        <v>327</v>
      </c>
      <c r="E488" t="s">
        <v>327</v>
      </c>
      <c r="F488" t="s">
        <v>327</v>
      </c>
      <c r="G488" t="s">
        <v>327</v>
      </c>
      <c r="H488" t="s">
        <v>327</v>
      </c>
      <c r="I488" t="s">
        <v>2931</v>
      </c>
    </row>
    <row r="489" spans="1:9">
      <c r="A489" s="5" t="s">
        <v>327</v>
      </c>
      <c r="B489" s="5" t="s">
        <v>4160</v>
      </c>
      <c r="C489" t="s">
        <v>4161</v>
      </c>
      <c r="D489" t="s">
        <v>327</v>
      </c>
      <c r="E489" t="s">
        <v>327</v>
      </c>
      <c r="F489" t="s">
        <v>327</v>
      </c>
      <c r="G489" t="s">
        <v>327</v>
      </c>
      <c r="H489" t="s">
        <v>327</v>
      </c>
      <c r="I489" t="s">
        <v>2921</v>
      </c>
    </row>
    <row r="490" spans="1:9">
      <c r="A490" s="5" t="s">
        <v>327</v>
      </c>
      <c r="B490" s="5" t="s">
        <v>4162</v>
      </c>
      <c r="C490" t="s">
        <v>4163</v>
      </c>
      <c r="D490" t="s">
        <v>327</v>
      </c>
      <c r="E490" t="s">
        <v>327</v>
      </c>
      <c r="F490" t="s">
        <v>327</v>
      </c>
      <c r="G490" t="s">
        <v>327</v>
      </c>
      <c r="H490" t="s">
        <v>327</v>
      </c>
      <c r="I490" t="s">
        <v>2931</v>
      </c>
    </row>
    <row r="491" spans="1:9">
      <c r="A491" s="5" t="s">
        <v>327</v>
      </c>
      <c r="B491" s="5" t="s">
        <v>4164</v>
      </c>
      <c r="C491" t="s">
        <v>4165</v>
      </c>
      <c r="D491" t="s">
        <v>327</v>
      </c>
      <c r="E491" t="s">
        <v>327</v>
      </c>
      <c r="F491" t="s">
        <v>327</v>
      </c>
      <c r="G491" t="s">
        <v>327</v>
      </c>
      <c r="H491" t="s">
        <v>327</v>
      </c>
      <c r="I491" t="s">
        <v>2921</v>
      </c>
    </row>
    <row r="492" spans="1:9">
      <c r="A492" s="5" t="s">
        <v>327</v>
      </c>
      <c r="B492" s="5" t="s">
        <v>4166</v>
      </c>
      <c r="C492" t="s">
        <v>4167</v>
      </c>
      <c r="D492" t="s">
        <v>327</v>
      </c>
      <c r="E492" t="s">
        <v>327</v>
      </c>
      <c r="F492" t="s">
        <v>327</v>
      </c>
      <c r="G492" t="s">
        <v>327</v>
      </c>
      <c r="H492" t="s">
        <v>327</v>
      </c>
      <c r="I492" t="s">
        <v>2931</v>
      </c>
    </row>
    <row r="493" spans="1:9">
      <c r="A493" s="5" t="s">
        <v>327</v>
      </c>
      <c r="B493" s="5" t="s">
        <v>4168</v>
      </c>
      <c r="C493" t="s">
        <v>4169</v>
      </c>
      <c r="D493" t="s">
        <v>327</v>
      </c>
      <c r="E493" t="s">
        <v>327</v>
      </c>
      <c r="F493" t="s">
        <v>327</v>
      </c>
      <c r="G493" t="s">
        <v>327</v>
      </c>
      <c r="H493" t="s">
        <v>327</v>
      </c>
      <c r="I493" t="s">
        <v>2921</v>
      </c>
    </row>
    <row r="494" spans="1:9">
      <c r="A494" s="5" t="s">
        <v>327</v>
      </c>
      <c r="B494" s="5" t="s">
        <v>4170</v>
      </c>
      <c r="C494" t="s">
        <v>4171</v>
      </c>
      <c r="D494" t="s">
        <v>327</v>
      </c>
      <c r="E494" t="s">
        <v>327</v>
      </c>
      <c r="F494" t="s">
        <v>327</v>
      </c>
      <c r="G494" t="s">
        <v>327</v>
      </c>
      <c r="H494" t="s">
        <v>327</v>
      </c>
      <c r="I494" t="s">
        <v>2931</v>
      </c>
    </row>
    <row r="495" spans="1:9">
      <c r="A495" s="5" t="s">
        <v>327</v>
      </c>
      <c r="B495" s="5" t="s">
        <v>4172</v>
      </c>
      <c r="C495" t="s">
        <v>4173</v>
      </c>
      <c r="D495" t="s">
        <v>327</v>
      </c>
      <c r="E495" t="s">
        <v>327</v>
      </c>
      <c r="F495" t="s">
        <v>327</v>
      </c>
      <c r="G495" t="s">
        <v>327</v>
      </c>
      <c r="H495" t="s">
        <v>327</v>
      </c>
      <c r="I495" t="s">
        <v>2921</v>
      </c>
    </row>
    <row r="496" spans="1:9">
      <c r="A496" s="5" t="s">
        <v>327</v>
      </c>
      <c r="B496" s="5" t="s">
        <v>4174</v>
      </c>
      <c r="C496" t="s">
        <v>4175</v>
      </c>
      <c r="D496" t="s">
        <v>327</v>
      </c>
      <c r="E496" t="s">
        <v>327</v>
      </c>
      <c r="F496" t="s">
        <v>327</v>
      </c>
      <c r="G496" t="s">
        <v>327</v>
      </c>
      <c r="H496" t="s">
        <v>327</v>
      </c>
      <c r="I496" t="s">
        <v>2931</v>
      </c>
    </row>
    <row r="497" spans="1:9">
      <c r="A497" s="5" t="s">
        <v>327</v>
      </c>
      <c r="B497" s="5" t="s">
        <v>4176</v>
      </c>
      <c r="C497" t="s">
        <v>4177</v>
      </c>
      <c r="D497" t="s">
        <v>327</v>
      </c>
      <c r="E497" t="s">
        <v>327</v>
      </c>
      <c r="F497" t="s">
        <v>327</v>
      </c>
      <c r="G497" t="s">
        <v>327</v>
      </c>
      <c r="H497" t="s">
        <v>327</v>
      </c>
      <c r="I497" t="s">
        <v>2921</v>
      </c>
    </row>
    <row r="498" spans="1:9">
      <c r="A498" s="5" t="s">
        <v>327</v>
      </c>
      <c r="B498" s="5" t="s">
        <v>4178</v>
      </c>
      <c r="C498" t="s">
        <v>4179</v>
      </c>
      <c r="D498" t="s">
        <v>327</v>
      </c>
      <c r="E498" t="s">
        <v>327</v>
      </c>
      <c r="F498" t="s">
        <v>327</v>
      </c>
      <c r="G498" t="s">
        <v>327</v>
      </c>
      <c r="H498" t="s">
        <v>327</v>
      </c>
      <c r="I498" t="s">
        <v>2931</v>
      </c>
    </row>
    <row r="499" spans="1:9">
      <c r="A499" s="5" t="s">
        <v>327</v>
      </c>
      <c r="B499" s="5" t="s">
        <v>4180</v>
      </c>
      <c r="C499" t="s">
        <v>4181</v>
      </c>
      <c r="D499" t="s">
        <v>327</v>
      </c>
      <c r="E499" t="s">
        <v>327</v>
      </c>
      <c r="F499" t="s">
        <v>327</v>
      </c>
      <c r="G499" t="s">
        <v>327</v>
      </c>
      <c r="H499" t="s">
        <v>327</v>
      </c>
      <c r="I499" t="s">
        <v>2931</v>
      </c>
    </row>
    <row r="500" spans="1:9">
      <c r="A500" s="5" t="s">
        <v>327</v>
      </c>
      <c r="B500" s="5" t="s">
        <v>4182</v>
      </c>
      <c r="C500" t="s">
        <v>4183</v>
      </c>
      <c r="D500" t="s">
        <v>327</v>
      </c>
      <c r="E500" t="s">
        <v>327</v>
      </c>
      <c r="F500" t="s">
        <v>327</v>
      </c>
      <c r="G500" t="s">
        <v>327</v>
      </c>
      <c r="H500" t="s">
        <v>327</v>
      </c>
      <c r="I500" t="s">
        <v>2921</v>
      </c>
    </row>
    <row r="501" spans="1:9">
      <c r="A501" s="5" t="s">
        <v>327</v>
      </c>
      <c r="B501" s="5" t="s">
        <v>4184</v>
      </c>
      <c r="C501" t="s">
        <v>4185</v>
      </c>
      <c r="D501" t="s">
        <v>327</v>
      </c>
      <c r="E501" t="s">
        <v>327</v>
      </c>
      <c r="F501" t="s">
        <v>327</v>
      </c>
      <c r="G501" t="s">
        <v>327</v>
      </c>
      <c r="H501" t="s">
        <v>327</v>
      </c>
      <c r="I501" t="s">
        <v>2921</v>
      </c>
    </row>
    <row r="502" spans="1:9">
      <c r="A502" s="5" t="s">
        <v>327</v>
      </c>
      <c r="B502" s="5" t="s">
        <v>4186</v>
      </c>
      <c r="C502" t="s">
        <v>4187</v>
      </c>
      <c r="D502" t="s">
        <v>327</v>
      </c>
      <c r="E502" t="s">
        <v>327</v>
      </c>
      <c r="F502" t="s">
        <v>327</v>
      </c>
      <c r="G502" t="s">
        <v>327</v>
      </c>
      <c r="H502" t="s">
        <v>327</v>
      </c>
      <c r="I502" t="s">
        <v>2921</v>
      </c>
    </row>
    <row r="503" spans="1:9">
      <c r="A503" s="5" t="s">
        <v>327</v>
      </c>
      <c r="B503" s="5" t="s">
        <v>4188</v>
      </c>
      <c r="C503" t="s">
        <v>4189</v>
      </c>
      <c r="D503" t="s">
        <v>327</v>
      </c>
      <c r="E503" t="s">
        <v>327</v>
      </c>
      <c r="F503" t="s">
        <v>327</v>
      </c>
      <c r="G503" t="s">
        <v>327</v>
      </c>
      <c r="H503" t="s">
        <v>327</v>
      </c>
      <c r="I503" t="s">
        <v>2921</v>
      </c>
    </row>
    <row r="504" spans="1:9">
      <c r="A504" s="5" t="s">
        <v>327</v>
      </c>
      <c r="B504" s="5" t="s">
        <v>4190</v>
      </c>
      <c r="C504" t="s">
        <v>4191</v>
      </c>
      <c r="D504" t="s">
        <v>327</v>
      </c>
      <c r="E504" t="s">
        <v>327</v>
      </c>
      <c r="F504" t="s">
        <v>327</v>
      </c>
      <c r="G504" t="s">
        <v>327</v>
      </c>
      <c r="H504" t="s">
        <v>327</v>
      </c>
      <c r="I504" t="s">
        <v>2921</v>
      </c>
    </row>
    <row r="505" spans="1:9">
      <c r="A505" s="5" t="s">
        <v>327</v>
      </c>
      <c r="B505" s="5" t="s">
        <v>4192</v>
      </c>
      <c r="C505" t="s">
        <v>4193</v>
      </c>
      <c r="D505" t="s">
        <v>327</v>
      </c>
      <c r="E505" t="s">
        <v>327</v>
      </c>
      <c r="F505" t="s">
        <v>327</v>
      </c>
      <c r="G505" t="s">
        <v>327</v>
      </c>
      <c r="H505" t="s">
        <v>327</v>
      </c>
      <c r="I505" t="s">
        <v>2931</v>
      </c>
    </row>
    <row r="506" spans="1:9">
      <c r="A506" s="5" t="s">
        <v>327</v>
      </c>
      <c r="B506" s="5" t="s">
        <v>4194</v>
      </c>
      <c r="C506" t="s">
        <v>4195</v>
      </c>
      <c r="D506" t="s">
        <v>327</v>
      </c>
      <c r="E506" t="s">
        <v>327</v>
      </c>
      <c r="F506" t="s">
        <v>327</v>
      </c>
      <c r="G506" t="s">
        <v>327</v>
      </c>
      <c r="H506" t="s">
        <v>327</v>
      </c>
      <c r="I506" t="s">
        <v>2931</v>
      </c>
    </row>
    <row r="507" spans="1:9">
      <c r="A507" s="5" t="s">
        <v>327</v>
      </c>
      <c r="B507" s="5" t="s">
        <v>4196</v>
      </c>
      <c r="C507" t="s">
        <v>4197</v>
      </c>
      <c r="D507" t="s">
        <v>327</v>
      </c>
      <c r="E507" t="s">
        <v>327</v>
      </c>
      <c r="F507" t="s">
        <v>327</v>
      </c>
      <c r="G507" t="s">
        <v>327</v>
      </c>
      <c r="H507" t="s">
        <v>327</v>
      </c>
      <c r="I507" t="s">
        <v>2931</v>
      </c>
    </row>
    <row r="508" spans="1:9">
      <c r="A508" s="5" t="s">
        <v>327</v>
      </c>
      <c r="B508" s="5" t="s">
        <v>4198</v>
      </c>
      <c r="C508" t="s">
        <v>4199</v>
      </c>
      <c r="D508" t="s">
        <v>327</v>
      </c>
      <c r="E508" t="s">
        <v>327</v>
      </c>
      <c r="F508" t="s">
        <v>327</v>
      </c>
      <c r="G508" t="s">
        <v>327</v>
      </c>
      <c r="H508" t="s">
        <v>327</v>
      </c>
      <c r="I508" t="s">
        <v>3274</v>
      </c>
    </row>
    <row r="509" spans="1:9">
      <c r="A509" s="5" t="s">
        <v>327</v>
      </c>
      <c r="B509" s="5" t="s">
        <v>4200</v>
      </c>
      <c r="C509" t="s">
        <v>4201</v>
      </c>
      <c r="D509" t="s">
        <v>327</v>
      </c>
      <c r="E509" t="s">
        <v>327</v>
      </c>
      <c r="F509" t="s">
        <v>327</v>
      </c>
      <c r="G509" t="s">
        <v>327</v>
      </c>
      <c r="H509" t="s">
        <v>327</v>
      </c>
      <c r="I509" t="s">
        <v>2921</v>
      </c>
    </row>
    <row r="510" spans="1:9">
      <c r="A510" s="5" t="s">
        <v>327</v>
      </c>
      <c r="B510" s="5" t="s">
        <v>4202</v>
      </c>
      <c r="C510" t="s">
        <v>4203</v>
      </c>
      <c r="D510" t="s">
        <v>327</v>
      </c>
      <c r="E510" t="s">
        <v>327</v>
      </c>
      <c r="F510" t="s">
        <v>327</v>
      </c>
      <c r="G510" t="s">
        <v>327</v>
      </c>
      <c r="H510" t="s">
        <v>327</v>
      </c>
      <c r="I510" t="s">
        <v>2931</v>
      </c>
    </row>
    <row r="511" spans="1:9">
      <c r="A511" s="5" t="s">
        <v>327</v>
      </c>
      <c r="B511" s="5" t="s">
        <v>4204</v>
      </c>
      <c r="C511" t="s">
        <v>4205</v>
      </c>
      <c r="D511" t="s">
        <v>327</v>
      </c>
      <c r="E511" t="s">
        <v>327</v>
      </c>
      <c r="F511" t="s">
        <v>327</v>
      </c>
      <c r="G511" t="s">
        <v>327</v>
      </c>
      <c r="H511" t="s">
        <v>327</v>
      </c>
      <c r="I511" t="s">
        <v>2931</v>
      </c>
    </row>
    <row r="512" spans="1:9">
      <c r="A512" s="5" t="s">
        <v>327</v>
      </c>
      <c r="B512" s="5" t="s">
        <v>4206</v>
      </c>
      <c r="C512" t="s">
        <v>4207</v>
      </c>
      <c r="D512" t="s">
        <v>327</v>
      </c>
      <c r="E512" t="s">
        <v>327</v>
      </c>
      <c r="F512" t="s">
        <v>327</v>
      </c>
      <c r="G512" t="s">
        <v>327</v>
      </c>
      <c r="H512" t="s">
        <v>327</v>
      </c>
      <c r="I512" t="s">
        <v>2921</v>
      </c>
    </row>
    <row r="513" spans="1:9">
      <c r="A513" s="5" t="s">
        <v>327</v>
      </c>
      <c r="B513" s="5" t="s">
        <v>4208</v>
      </c>
      <c r="C513" t="s">
        <v>4209</v>
      </c>
      <c r="D513" t="s">
        <v>327</v>
      </c>
      <c r="E513" t="s">
        <v>327</v>
      </c>
      <c r="F513" t="s">
        <v>327</v>
      </c>
      <c r="G513" t="s">
        <v>327</v>
      </c>
      <c r="H513" t="s">
        <v>327</v>
      </c>
      <c r="I513" t="s">
        <v>2931</v>
      </c>
    </row>
    <row r="514" spans="1:9">
      <c r="A514" s="5" t="s">
        <v>327</v>
      </c>
      <c r="B514" s="5" t="s">
        <v>4210</v>
      </c>
      <c r="C514" t="s">
        <v>4211</v>
      </c>
      <c r="D514" t="s">
        <v>327</v>
      </c>
      <c r="E514" t="s">
        <v>327</v>
      </c>
      <c r="F514" t="s">
        <v>327</v>
      </c>
      <c r="G514" t="s">
        <v>327</v>
      </c>
      <c r="H514" t="s">
        <v>327</v>
      </c>
      <c r="I514" t="s">
        <v>2931</v>
      </c>
    </row>
    <row r="515" spans="1:9">
      <c r="A515" s="5" t="s">
        <v>327</v>
      </c>
      <c r="B515" s="5" t="s">
        <v>4212</v>
      </c>
      <c r="C515" t="s">
        <v>4213</v>
      </c>
      <c r="D515" t="s">
        <v>327</v>
      </c>
      <c r="E515" t="s">
        <v>327</v>
      </c>
      <c r="F515" t="s">
        <v>327</v>
      </c>
      <c r="G515" t="s">
        <v>327</v>
      </c>
      <c r="H515" t="s">
        <v>327</v>
      </c>
      <c r="I515" t="s">
        <v>2921</v>
      </c>
    </row>
    <row r="516" spans="1:9">
      <c r="A516" s="5" t="s">
        <v>327</v>
      </c>
      <c r="B516" s="5" t="s">
        <v>4214</v>
      </c>
      <c r="C516" t="s">
        <v>4215</v>
      </c>
      <c r="D516" t="s">
        <v>327</v>
      </c>
      <c r="E516" t="s">
        <v>327</v>
      </c>
      <c r="F516" t="s">
        <v>327</v>
      </c>
      <c r="G516" t="s">
        <v>327</v>
      </c>
      <c r="H516" t="s">
        <v>327</v>
      </c>
      <c r="I516" t="s">
        <v>2931</v>
      </c>
    </row>
    <row r="517" spans="1:9">
      <c r="A517" s="5" t="s">
        <v>327</v>
      </c>
      <c r="B517" s="5" t="s">
        <v>4216</v>
      </c>
      <c r="C517" t="s">
        <v>4217</v>
      </c>
      <c r="D517" t="s">
        <v>327</v>
      </c>
      <c r="E517" t="s">
        <v>327</v>
      </c>
      <c r="F517" t="s">
        <v>327</v>
      </c>
      <c r="G517" t="s">
        <v>327</v>
      </c>
      <c r="H517" t="s">
        <v>327</v>
      </c>
      <c r="I517" t="s">
        <v>2921</v>
      </c>
    </row>
    <row r="518" spans="1:9">
      <c r="A518" s="5" t="s">
        <v>327</v>
      </c>
      <c r="B518" s="5" t="s">
        <v>4218</v>
      </c>
      <c r="C518" t="s">
        <v>4219</v>
      </c>
      <c r="D518" t="s">
        <v>327</v>
      </c>
      <c r="E518" t="s">
        <v>327</v>
      </c>
      <c r="F518" t="s">
        <v>327</v>
      </c>
      <c r="G518" t="s">
        <v>327</v>
      </c>
      <c r="H518" t="s">
        <v>327</v>
      </c>
      <c r="I518" t="s">
        <v>2931</v>
      </c>
    </row>
    <row r="519" spans="1:9">
      <c r="A519" s="5" t="s">
        <v>327</v>
      </c>
      <c r="B519" s="5" t="s">
        <v>4220</v>
      </c>
      <c r="C519" t="s">
        <v>4221</v>
      </c>
      <c r="D519" t="s">
        <v>327</v>
      </c>
      <c r="E519" t="s">
        <v>327</v>
      </c>
      <c r="F519" t="s">
        <v>327</v>
      </c>
      <c r="G519" t="s">
        <v>327</v>
      </c>
      <c r="H519" t="s">
        <v>327</v>
      </c>
      <c r="I519" t="s">
        <v>2921</v>
      </c>
    </row>
    <row r="520" spans="1:9">
      <c r="A520" s="5" t="s">
        <v>327</v>
      </c>
      <c r="B520" s="5" t="s">
        <v>4222</v>
      </c>
      <c r="C520" t="s">
        <v>4223</v>
      </c>
      <c r="D520" t="s">
        <v>327</v>
      </c>
      <c r="E520" t="s">
        <v>327</v>
      </c>
      <c r="F520" t="s">
        <v>327</v>
      </c>
      <c r="G520" t="s">
        <v>327</v>
      </c>
      <c r="H520" t="s">
        <v>327</v>
      </c>
      <c r="I520" t="s">
        <v>2921</v>
      </c>
    </row>
    <row r="521" spans="1:9">
      <c r="A521" s="5" t="s">
        <v>327</v>
      </c>
      <c r="B521" s="5" t="s">
        <v>4224</v>
      </c>
      <c r="C521" t="s">
        <v>4225</v>
      </c>
      <c r="D521" t="s">
        <v>327</v>
      </c>
      <c r="E521" t="s">
        <v>327</v>
      </c>
      <c r="F521" t="s">
        <v>327</v>
      </c>
      <c r="G521" t="s">
        <v>327</v>
      </c>
      <c r="H521" t="s">
        <v>327</v>
      </c>
      <c r="I521" t="s">
        <v>2931</v>
      </c>
    </row>
    <row r="522" spans="1:9">
      <c r="A522" s="5" t="s">
        <v>327</v>
      </c>
      <c r="B522" s="5" t="s">
        <v>4226</v>
      </c>
      <c r="C522" t="s">
        <v>4227</v>
      </c>
      <c r="D522" t="s">
        <v>327</v>
      </c>
      <c r="E522" t="s">
        <v>327</v>
      </c>
      <c r="F522" t="s">
        <v>327</v>
      </c>
      <c r="G522" t="s">
        <v>327</v>
      </c>
      <c r="H522" t="s">
        <v>327</v>
      </c>
      <c r="I522" t="s">
        <v>2921</v>
      </c>
    </row>
    <row r="523" spans="1:9">
      <c r="A523" s="5" t="s">
        <v>327</v>
      </c>
      <c r="B523" s="5" t="s">
        <v>4228</v>
      </c>
      <c r="C523" t="s">
        <v>4229</v>
      </c>
      <c r="D523" t="s">
        <v>327</v>
      </c>
      <c r="E523" t="s">
        <v>327</v>
      </c>
      <c r="F523" t="s">
        <v>327</v>
      </c>
      <c r="G523" t="s">
        <v>327</v>
      </c>
      <c r="H523" t="s">
        <v>327</v>
      </c>
      <c r="I523" t="s">
        <v>4057</v>
      </c>
    </row>
    <row r="524" spans="1:9">
      <c r="A524" s="5" t="s">
        <v>327</v>
      </c>
      <c r="B524" s="5" t="s">
        <v>4230</v>
      </c>
      <c r="C524" t="s">
        <v>4231</v>
      </c>
      <c r="D524" t="s">
        <v>327</v>
      </c>
      <c r="E524" t="s">
        <v>327</v>
      </c>
      <c r="F524" t="s">
        <v>327</v>
      </c>
      <c r="G524" t="s">
        <v>327</v>
      </c>
      <c r="H524" t="s">
        <v>327</v>
      </c>
      <c r="I524" t="s">
        <v>2931</v>
      </c>
    </row>
    <row r="525" spans="1:9">
      <c r="A525" s="5" t="s">
        <v>327</v>
      </c>
      <c r="B525" s="5" t="s">
        <v>4232</v>
      </c>
      <c r="C525" t="s">
        <v>4233</v>
      </c>
      <c r="D525" t="s">
        <v>327</v>
      </c>
      <c r="E525" t="s">
        <v>327</v>
      </c>
      <c r="F525" t="s">
        <v>327</v>
      </c>
      <c r="G525" t="s">
        <v>327</v>
      </c>
      <c r="H525" t="s">
        <v>327</v>
      </c>
      <c r="I525" t="s">
        <v>2931</v>
      </c>
    </row>
    <row r="526" spans="1:9">
      <c r="A526" s="5" t="s">
        <v>327</v>
      </c>
      <c r="B526" s="5" t="s">
        <v>4234</v>
      </c>
      <c r="C526" t="s">
        <v>4235</v>
      </c>
      <c r="D526" t="s">
        <v>327</v>
      </c>
      <c r="E526" t="s">
        <v>327</v>
      </c>
      <c r="F526" t="s">
        <v>327</v>
      </c>
      <c r="G526" t="s">
        <v>327</v>
      </c>
      <c r="H526" t="s">
        <v>327</v>
      </c>
      <c r="I526" t="s">
        <v>2921</v>
      </c>
    </row>
    <row r="527" spans="1:9">
      <c r="A527" s="5" t="s">
        <v>327</v>
      </c>
      <c r="B527" s="5" t="s">
        <v>4236</v>
      </c>
      <c r="C527" t="s">
        <v>4237</v>
      </c>
      <c r="D527" t="s">
        <v>327</v>
      </c>
      <c r="E527" t="s">
        <v>327</v>
      </c>
      <c r="F527" t="s">
        <v>327</v>
      </c>
      <c r="G527" t="s">
        <v>327</v>
      </c>
      <c r="H527" t="s">
        <v>327</v>
      </c>
      <c r="I527" t="s">
        <v>4238</v>
      </c>
    </row>
    <row r="528" spans="1:9">
      <c r="A528" s="5" t="s">
        <v>327</v>
      </c>
      <c r="B528" s="5" t="s">
        <v>4239</v>
      </c>
      <c r="C528" t="s">
        <v>4240</v>
      </c>
      <c r="D528" t="s">
        <v>327</v>
      </c>
      <c r="E528" t="s">
        <v>327</v>
      </c>
      <c r="F528" t="s">
        <v>327</v>
      </c>
      <c r="G528" t="s">
        <v>327</v>
      </c>
      <c r="H528" t="s">
        <v>327</v>
      </c>
      <c r="I528" t="s">
        <v>2990</v>
      </c>
    </row>
    <row r="529" spans="1:9">
      <c r="A529" s="5" t="s">
        <v>327</v>
      </c>
      <c r="B529" s="5" t="s">
        <v>4241</v>
      </c>
      <c r="C529" t="s">
        <v>4242</v>
      </c>
      <c r="D529" t="s">
        <v>327</v>
      </c>
      <c r="E529" t="s">
        <v>327</v>
      </c>
      <c r="F529" t="s">
        <v>327</v>
      </c>
      <c r="G529" t="s">
        <v>327</v>
      </c>
      <c r="H529" t="s">
        <v>327</v>
      </c>
      <c r="I529" t="s">
        <v>2931</v>
      </c>
    </row>
    <row r="530" spans="1:9">
      <c r="A530" s="5" t="s">
        <v>327</v>
      </c>
      <c r="B530" s="5" t="s">
        <v>4243</v>
      </c>
      <c r="C530" t="s">
        <v>4244</v>
      </c>
      <c r="D530" t="s">
        <v>327</v>
      </c>
      <c r="E530" t="s">
        <v>327</v>
      </c>
      <c r="F530" t="s">
        <v>327</v>
      </c>
      <c r="G530" t="s">
        <v>327</v>
      </c>
      <c r="H530" t="s">
        <v>327</v>
      </c>
      <c r="I530" t="s">
        <v>2921</v>
      </c>
    </row>
    <row r="531" spans="1:9">
      <c r="A531" s="5" t="s">
        <v>327</v>
      </c>
      <c r="B531" s="5" t="s">
        <v>4245</v>
      </c>
      <c r="C531" t="s">
        <v>4246</v>
      </c>
      <c r="D531" t="s">
        <v>327</v>
      </c>
      <c r="E531" t="s">
        <v>327</v>
      </c>
      <c r="F531" t="s">
        <v>327</v>
      </c>
      <c r="G531" t="s">
        <v>327</v>
      </c>
      <c r="H531" t="s">
        <v>327</v>
      </c>
      <c r="I531" t="s">
        <v>2931</v>
      </c>
    </row>
    <row r="532" spans="1:9">
      <c r="A532" s="5" t="s">
        <v>327</v>
      </c>
      <c r="B532" s="5" t="s">
        <v>4247</v>
      </c>
      <c r="C532" t="s">
        <v>4248</v>
      </c>
      <c r="D532" t="s">
        <v>327</v>
      </c>
      <c r="E532" t="s">
        <v>327</v>
      </c>
      <c r="F532" t="s">
        <v>327</v>
      </c>
      <c r="G532" t="s">
        <v>327</v>
      </c>
      <c r="H532" t="s">
        <v>327</v>
      </c>
      <c r="I532" t="s">
        <v>2931</v>
      </c>
    </row>
    <row r="533" spans="1:9">
      <c r="A533" s="5" t="s">
        <v>327</v>
      </c>
      <c r="B533" s="5" t="s">
        <v>4249</v>
      </c>
      <c r="C533" t="s">
        <v>4250</v>
      </c>
      <c r="D533" t="s">
        <v>327</v>
      </c>
      <c r="E533" t="s">
        <v>327</v>
      </c>
      <c r="F533" t="s">
        <v>327</v>
      </c>
      <c r="G533" t="s">
        <v>327</v>
      </c>
      <c r="H533" t="s">
        <v>327</v>
      </c>
      <c r="I533" t="s">
        <v>2921</v>
      </c>
    </row>
    <row r="534" spans="1:9">
      <c r="A534" s="5" t="s">
        <v>327</v>
      </c>
      <c r="B534" s="5" t="s">
        <v>4251</v>
      </c>
      <c r="C534" t="s">
        <v>4252</v>
      </c>
      <c r="D534" t="s">
        <v>327</v>
      </c>
      <c r="E534" t="s">
        <v>327</v>
      </c>
      <c r="F534" t="s">
        <v>327</v>
      </c>
      <c r="G534" t="s">
        <v>327</v>
      </c>
      <c r="H534" t="s">
        <v>327</v>
      </c>
      <c r="I534" t="s">
        <v>2931</v>
      </c>
    </row>
    <row r="535" spans="1:9">
      <c r="A535" s="5" t="s">
        <v>327</v>
      </c>
      <c r="B535" s="5" t="s">
        <v>4253</v>
      </c>
      <c r="C535" t="s">
        <v>4254</v>
      </c>
      <c r="D535" t="s">
        <v>327</v>
      </c>
      <c r="E535" t="s">
        <v>327</v>
      </c>
      <c r="F535" t="s">
        <v>327</v>
      </c>
      <c r="G535" t="s">
        <v>327</v>
      </c>
      <c r="H535" t="s">
        <v>327</v>
      </c>
      <c r="I535" t="s">
        <v>2931</v>
      </c>
    </row>
    <row r="536" spans="1:9">
      <c r="A536" s="5" t="s">
        <v>327</v>
      </c>
      <c r="B536" s="5" t="s">
        <v>4255</v>
      </c>
      <c r="C536" t="s">
        <v>4256</v>
      </c>
      <c r="D536" t="s">
        <v>327</v>
      </c>
      <c r="E536" t="s">
        <v>327</v>
      </c>
      <c r="F536" t="s">
        <v>327</v>
      </c>
      <c r="G536" t="s">
        <v>327</v>
      </c>
      <c r="H536" t="s">
        <v>327</v>
      </c>
      <c r="I536" t="s">
        <v>2921</v>
      </c>
    </row>
    <row r="537" spans="1:9">
      <c r="A537" s="5" t="s">
        <v>327</v>
      </c>
      <c r="B537" s="5" t="s">
        <v>4257</v>
      </c>
      <c r="C537" t="s">
        <v>4258</v>
      </c>
      <c r="D537" t="s">
        <v>327</v>
      </c>
      <c r="E537" t="s">
        <v>327</v>
      </c>
      <c r="F537" t="s">
        <v>327</v>
      </c>
      <c r="G537" t="s">
        <v>327</v>
      </c>
      <c r="H537" t="s">
        <v>327</v>
      </c>
      <c r="I537" t="s">
        <v>4259</v>
      </c>
    </row>
    <row r="538" spans="1:9">
      <c r="A538" s="5" t="s">
        <v>327</v>
      </c>
      <c r="B538" s="5" t="s">
        <v>4260</v>
      </c>
      <c r="C538" t="s">
        <v>4261</v>
      </c>
      <c r="D538" t="s">
        <v>327</v>
      </c>
      <c r="E538" t="s">
        <v>327</v>
      </c>
      <c r="F538" t="s">
        <v>327</v>
      </c>
      <c r="G538" t="s">
        <v>327</v>
      </c>
      <c r="H538" t="s">
        <v>327</v>
      </c>
      <c r="I538" t="s">
        <v>2921</v>
      </c>
    </row>
    <row r="539" spans="1:9">
      <c r="A539" s="5" t="s">
        <v>327</v>
      </c>
      <c r="B539" s="5" t="s">
        <v>4262</v>
      </c>
      <c r="C539" t="s">
        <v>4263</v>
      </c>
      <c r="D539" t="s">
        <v>327</v>
      </c>
      <c r="E539" t="s">
        <v>327</v>
      </c>
      <c r="F539" t="s">
        <v>327</v>
      </c>
      <c r="G539" t="s">
        <v>327</v>
      </c>
      <c r="H539" t="s">
        <v>327</v>
      </c>
      <c r="I539" t="s">
        <v>2921</v>
      </c>
    </row>
    <row r="540" spans="1:9">
      <c r="A540" s="5" t="s">
        <v>327</v>
      </c>
      <c r="B540" s="5" t="s">
        <v>4264</v>
      </c>
      <c r="C540" t="s">
        <v>4265</v>
      </c>
      <c r="D540" t="s">
        <v>327</v>
      </c>
      <c r="E540" t="s">
        <v>327</v>
      </c>
      <c r="F540" t="s">
        <v>327</v>
      </c>
      <c r="G540" t="s">
        <v>327</v>
      </c>
      <c r="H540" t="s">
        <v>327</v>
      </c>
      <c r="I540" t="s">
        <v>2931</v>
      </c>
    </row>
    <row r="541" spans="1:9">
      <c r="A541" s="5" t="s">
        <v>327</v>
      </c>
      <c r="B541" s="5" t="s">
        <v>4266</v>
      </c>
      <c r="C541" t="s">
        <v>4267</v>
      </c>
      <c r="D541" t="s">
        <v>327</v>
      </c>
      <c r="E541" t="s">
        <v>327</v>
      </c>
      <c r="F541" t="s">
        <v>327</v>
      </c>
      <c r="G541" t="s">
        <v>327</v>
      </c>
      <c r="H541" t="s">
        <v>327</v>
      </c>
      <c r="I541" t="s">
        <v>2931</v>
      </c>
    </row>
    <row r="542" spans="1:9">
      <c r="A542" s="5" t="s">
        <v>327</v>
      </c>
      <c r="B542" s="5" t="s">
        <v>4268</v>
      </c>
      <c r="C542" t="s">
        <v>4269</v>
      </c>
      <c r="D542" t="s">
        <v>327</v>
      </c>
      <c r="E542" t="s">
        <v>327</v>
      </c>
      <c r="F542" t="s">
        <v>327</v>
      </c>
      <c r="G542" t="s">
        <v>327</v>
      </c>
      <c r="H542" t="s">
        <v>327</v>
      </c>
      <c r="I542" t="s">
        <v>2931</v>
      </c>
    </row>
    <row r="543" spans="1:9">
      <c r="A543" s="5" t="s">
        <v>327</v>
      </c>
      <c r="B543" s="5" t="s">
        <v>4270</v>
      </c>
      <c r="C543" t="s">
        <v>4271</v>
      </c>
      <c r="D543" t="s">
        <v>327</v>
      </c>
      <c r="E543" t="s">
        <v>327</v>
      </c>
      <c r="F543" t="s">
        <v>327</v>
      </c>
      <c r="G543" t="s">
        <v>327</v>
      </c>
      <c r="H543" t="s">
        <v>327</v>
      </c>
      <c r="I543" t="s">
        <v>2931</v>
      </c>
    </row>
    <row r="544" spans="1:9">
      <c r="A544" s="5" t="s">
        <v>327</v>
      </c>
      <c r="B544" s="5" t="s">
        <v>4272</v>
      </c>
      <c r="C544" t="s">
        <v>4273</v>
      </c>
      <c r="D544" t="s">
        <v>327</v>
      </c>
      <c r="E544" t="s">
        <v>327</v>
      </c>
      <c r="F544" t="s">
        <v>327</v>
      </c>
      <c r="G544" t="s">
        <v>327</v>
      </c>
      <c r="H544" t="s">
        <v>327</v>
      </c>
      <c r="I544" t="s">
        <v>2921</v>
      </c>
    </row>
    <row r="545" spans="1:9">
      <c r="A545" s="5" t="s">
        <v>327</v>
      </c>
      <c r="B545" s="5" t="s">
        <v>4274</v>
      </c>
      <c r="C545" t="s">
        <v>4275</v>
      </c>
      <c r="D545" t="s">
        <v>327</v>
      </c>
      <c r="E545" t="s">
        <v>327</v>
      </c>
      <c r="F545" t="s">
        <v>327</v>
      </c>
      <c r="G545" t="s">
        <v>327</v>
      </c>
      <c r="H545" t="s">
        <v>327</v>
      </c>
      <c r="I545" t="s">
        <v>2921</v>
      </c>
    </row>
    <row r="546" spans="1:9">
      <c r="A546" s="5" t="s">
        <v>327</v>
      </c>
      <c r="B546" s="5" t="s">
        <v>4276</v>
      </c>
      <c r="C546" t="s">
        <v>4277</v>
      </c>
      <c r="D546" t="s">
        <v>327</v>
      </c>
      <c r="E546" t="s">
        <v>327</v>
      </c>
      <c r="F546" t="s">
        <v>327</v>
      </c>
      <c r="G546" t="s">
        <v>327</v>
      </c>
      <c r="H546" t="s">
        <v>327</v>
      </c>
      <c r="I546" t="s">
        <v>4278</v>
      </c>
    </row>
    <row r="547" spans="1:9">
      <c r="A547" s="5" t="s">
        <v>327</v>
      </c>
      <c r="B547" s="5" t="s">
        <v>4279</v>
      </c>
      <c r="C547" t="s">
        <v>4280</v>
      </c>
      <c r="D547" t="s">
        <v>327</v>
      </c>
      <c r="E547" t="s">
        <v>327</v>
      </c>
      <c r="F547" t="s">
        <v>327</v>
      </c>
      <c r="G547" t="s">
        <v>327</v>
      </c>
      <c r="H547" t="s">
        <v>327</v>
      </c>
      <c r="I547" t="s">
        <v>4281</v>
      </c>
    </row>
    <row r="548" spans="1:9">
      <c r="A548" s="5" t="s">
        <v>327</v>
      </c>
      <c r="B548" s="5" t="s">
        <v>4282</v>
      </c>
      <c r="C548" t="s">
        <v>4283</v>
      </c>
      <c r="D548" t="s">
        <v>327</v>
      </c>
      <c r="E548" t="s">
        <v>327</v>
      </c>
      <c r="F548" t="s">
        <v>327</v>
      </c>
      <c r="G548" t="s">
        <v>327</v>
      </c>
      <c r="H548" t="s">
        <v>327</v>
      </c>
      <c r="I548" t="s">
        <v>2931</v>
      </c>
    </row>
    <row r="549" spans="1:9">
      <c r="A549" s="5" t="s">
        <v>327</v>
      </c>
      <c r="B549" s="5" t="s">
        <v>4284</v>
      </c>
      <c r="C549" t="s">
        <v>4285</v>
      </c>
      <c r="D549" t="s">
        <v>327</v>
      </c>
      <c r="E549" t="s">
        <v>327</v>
      </c>
      <c r="F549" t="s">
        <v>327</v>
      </c>
      <c r="G549" t="s">
        <v>327</v>
      </c>
      <c r="H549" t="s">
        <v>327</v>
      </c>
      <c r="I549" t="s">
        <v>2921</v>
      </c>
    </row>
    <row r="550" spans="1:9">
      <c r="A550" s="5" t="s">
        <v>327</v>
      </c>
      <c r="B550" s="5" t="s">
        <v>4286</v>
      </c>
      <c r="C550" t="s">
        <v>4287</v>
      </c>
      <c r="D550" t="s">
        <v>327</v>
      </c>
      <c r="E550" t="s">
        <v>327</v>
      </c>
      <c r="F550" t="s">
        <v>327</v>
      </c>
      <c r="G550" t="s">
        <v>327</v>
      </c>
      <c r="H550" t="s">
        <v>327</v>
      </c>
      <c r="I550" t="s">
        <v>2921</v>
      </c>
    </row>
    <row r="551" spans="1:9">
      <c r="A551" s="5" t="s">
        <v>327</v>
      </c>
      <c r="B551" s="5" t="s">
        <v>4288</v>
      </c>
      <c r="C551" t="s">
        <v>4289</v>
      </c>
      <c r="D551" t="s">
        <v>327</v>
      </c>
      <c r="E551" t="s">
        <v>327</v>
      </c>
      <c r="F551" t="s">
        <v>327</v>
      </c>
      <c r="G551" t="s">
        <v>327</v>
      </c>
      <c r="H551" t="s">
        <v>327</v>
      </c>
      <c r="I551" t="s">
        <v>2921</v>
      </c>
    </row>
    <row r="552" spans="1:9">
      <c r="A552" s="5" t="s">
        <v>327</v>
      </c>
      <c r="B552" s="5" t="s">
        <v>4290</v>
      </c>
      <c r="C552" t="s">
        <v>4291</v>
      </c>
      <c r="D552" t="s">
        <v>327</v>
      </c>
      <c r="E552" t="s">
        <v>327</v>
      </c>
      <c r="F552" t="s">
        <v>327</v>
      </c>
      <c r="G552" t="s">
        <v>327</v>
      </c>
      <c r="H552" t="s">
        <v>327</v>
      </c>
      <c r="I552" t="s">
        <v>2931</v>
      </c>
    </row>
    <row r="553" spans="1:9">
      <c r="A553" s="5" t="s">
        <v>327</v>
      </c>
      <c r="B553" s="5" t="s">
        <v>4292</v>
      </c>
      <c r="C553" t="s">
        <v>4293</v>
      </c>
      <c r="D553" t="s">
        <v>327</v>
      </c>
      <c r="E553" t="s">
        <v>327</v>
      </c>
      <c r="F553" t="s">
        <v>327</v>
      </c>
      <c r="G553" t="s">
        <v>327</v>
      </c>
      <c r="H553" t="s">
        <v>327</v>
      </c>
      <c r="I553" t="s">
        <v>2931</v>
      </c>
    </row>
    <row r="554" spans="1:9">
      <c r="A554" s="5" t="s">
        <v>327</v>
      </c>
      <c r="B554" s="5" t="s">
        <v>4294</v>
      </c>
      <c r="C554" t="s">
        <v>4295</v>
      </c>
      <c r="D554" t="s">
        <v>327</v>
      </c>
      <c r="E554" t="s">
        <v>327</v>
      </c>
      <c r="F554" t="s">
        <v>327</v>
      </c>
      <c r="G554" t="s">
        <v>327</v>
      </c>
      <c r="H554" t="s">
        <v>327</v>
      </c>
      <c r="I554" t="s">
        <v>2921</v>
      </c>
    </row>
    <row r="555" spans="1:9">
      <c r="A555" s="5" t="s">
        <v>327</v>
      </c>
      <c r="B555" s="5" t="s">
        <v>4296</v>
      </c>
      <c r="C555" t="s">
        <v>4297</v>
      </c>
      <c r="D555" t="s">
        <v>327</v>
      </c>
      <c r="E555" t="s">
        <v>327</v>
      </c>
      <c r="F555" t="s">
        <v>327</v>
      </c>
      <c r="G555" t="s">
        <v>327</v>
      </c>
      <c r="H555" t="s">
        <v>327</v>
      </c>
      <c r="I555" t="s">
        <v>2931</v>
      </c>
    </row>
    <row r="556" spans="1:9">
      <c r="A556" s="5" t="s">
        <v>327</v>
      </c>
      <c r="B556" s="5" t="s">
        <v>4298</v>
      </c>
      <c r="C556" t="s">
        <v>4299</v>
      </c>
      <c r="D556" t="s">
        <v>327</v>
      </c>
      <c r="E556" t="s">
        <v>327</v>
      </c>
      <c r="F556" t="s">
        <v>327</v>
      </c>
      <c r="G556" t="s">
        <v>327</v>
      </c>
      <c r="H556" t="s">
        <v>327</v>
      </c>
      <c r="I556" t="s">
        <v>2931</v>
      </c>
    </row>
    <row r="557" spans="1:9">
      <c r="A557" s="5" t="s">
        <v>327</v>
      </c>
      <c r="B557" s="5" t="s">
        <v>4300</v>
      </c>
      <c r="C557" t="s">
        <v>4301</v>
      </c>
      <c r="D557" t="s">
        <v>327</v>
      </c>
      <c r="E557" t="s">
        <v>327</v>
      </c>
      <c r="F557" t="s">
        <v>327</v>
      </c>
      <c r="G557" t="s">
        <v>327</v>
      </c>
      <c r="H557" t="s">
        <v>327</v>
      </c>
      <c r="I557" t="s">
        <v>2931</v>
      </c>
    </row>
    <row r="558" spans="1:9">
      <c r="A558" s="5" t="s">
        <v>327</v>
      </c>
      <c r="B558" s="5" t="s">
        <v>4302</v>
      </c>
      <c r="C558" t="s">
        <v>4303</v>
      </c>
      <c r="D558" t="s">
        <v>327</v>
      </c>
      <c r="E558" t="s">
        <v>327</v>
      </c>
      <c r="F558" t="s">
        <v>327</v>
      </c>
      <c r="G558" t="s">
        <v>327</v>
      </c>
      <c r="H558" t="s">
        <v>327</v>
      </c>
      <c r="I558" t="s">
        <v>2921</v>
      </c>
    </row>
    <row r="559" spans="1:9">
      <c r="A559" s="5" t="s">
        <v>327</v>
      </c>
      <c r="B559" s="5" t="s">
        <v>4304</v>
      </c>
      <c r="C559" t="s">
        <v>4305</v>
      </c>
      <c r="D559" t="s">
        <v>327</v>
      </c>
      <c r="E559" t="s">
        <v>327</v>
      </c>
      <c r="F559" t="s">
        <v>327</v>
      </c>
      <c r="G559" t="s">
        <v>327</v>
      </c>
      <c r="H559" t="s">
        <v>327</v>
      </c>
      <c r="I559" t="s">
        <v>4306</v>
      </c>
    </row>
    <row r="560" spans="1:9">
      <c r="A560" s="5" t="s">
        <v>327</v>
      </c>
      <c r="B560" s="5" t="s">
        <v>4307</v>
      </c>
      <c r="C560" t="s">
        <v>4308</v>
      </c>
      <c r="D560" t="s">
        <v>327</v>
      </c>
      <c r="E560" t="s">
        <v>327</v>
      </c>
      <c r="F560" t="s">
        <v>327</v>
      </c>
      <c r="G560" t="s">
        <v>327</v>
      </c>
      <c r="H560" t="s">
        <v>327</v>
      </c>
      <c r="I560" t="s">
        <v>2931</v>
      </c>
    </row>
    <row r="561" spans="1:9">
      <c r="A561" s="5" t="s">
        <v>327</v>
      </c>
      <c r="B561" s="5" t="s">
        <v>4309</v>
      </c>
      <c r="C561" t="s">
        <v>4310</v>
      </c>
      <c r="D561" t="s">
        <v>327</v>
      </c>
      <c r="E561" t="s">
        <v>327</v>
      </c>
      <c r="F561" t="s">
        <v>327</v>
      </c>
      <c r="G561" t="s">
        <v>327</v>
      </c>
      <c r="H561" t="s">
        <v>327</v>
      </c>
      <c r="I561" t="s">
        <v>4238</v>
      </c>
    </row>
    <row r="562" spans="1:9">
      <c r="A562" s="5" t="s">
        <v>327</v>
      </c>
      <c r="B562" s="5" t="s">
        <v>4311</v>
      </c>
      <c r="C562" t="s">
        <v>4312</v>
      </c>
      <c r="D562" t="s">
        <v>327</v>
      </c>
      <c r="E562" t="s">
        <v>327</v>
      </c>
      <c r="F562" t="s">
        <v>327</v>
      </c>
      <c r="G562" t="s">
        <v>327</v>
      </c>
      <c r="H562" t="s">
        <v>327</v>
      </c>
      <c r="I562" t="s">
        <v>2921</v>
      </c>
    </row>
    <row r="563" spans="1:9">
      <c r="A563" s="5" t="s">
        <v>327</v>
      </c>
      <c r="B563" s="5" t="s">
        <v>4313</v>
      </c>
      <c r="C563" t="s">
        <v>4314</v>
      </c>
      <c r="D563" t="s">
        <v>327</v>
      </c>
      <c r="E563" t="s">
        <v>327</v>
      </c>
      <c r="F563" t="s">
        <v>327</v>
      </c>
      <c r="G563" t="s">
        <v>327</v>
      </c>
      <c r="H563" t="s">
        <v>327</v>
      </c>
      <c r="I563" t="s">
        <v>2931</v>
      </c>
    </row>
    <row r="564" spans="1:9">
      <c r="A564" s="5" t="s">
        <v>327</v>
      </c>
      <c r="B564" s="5" t="s">
        <v>4315</v>
      </c>
      <c r="C564" t="s">
        <v>4316</v>
      </c>
      <c r="D564" t="s">
        <v>327</v>
      </c>
      <c r="E564" t="s">
        <v>327</v>
      </c>
      <c r="F564" t="s">
        <v>327</v>
      </c>
      <c r="G564" t="s">
        <v>327</v>
      </c>
      <c r="H564" t="s">
        <v>327</v>
      </c>
      <c r="I564" t="s">
        <v>2931</v>
      </c>
    </row>
    <row r="565" spans="1:9">
      <c r="A565" s="5" t="s">
        <v>327</v>
      </c>
      <c r="B565" s="5" t="s">
        <v>4317</v>
      </c>
      <c r="C565" t="s">
        <v>4318</v>
      </c>
      <c r="D565" t="s">
        <v>327</v>
      </c>
      <c r="E565" t="s">
        <v>327</v>
      </c>
      <c r="F565" t="s">
        <v>327</v>
      </c>
      <c r="G565" t="s">
        <v>327</v>
      </c>
      <c r="H565" t="s">
        <v>327</v>
      </c>
      <c r="I565" t="s">
        <v>2921</v>
      </c>
    </row>
    <row r="566" spans="1:9">
      <c r="A566" s="5" t="s">
        <v>327</v>
      </c>
      <c r="B566" s="5" t="s">
        <v>4319</v>
      </c>
      <c r="C566" t="s">
        <v>4320</v>
      </c>
      <c r="D566" t="s">
        <v>327</v>
      </c>
      <c r="E566" t="s">
        <v>327</v>
      </c>
      <c r="F566" t="s">
        <v>327</v>
      </c>
      <c r="G566" t="s">
        <v>327</v>
      </c>
      <c r="H566" t="s">
        <v>327</v>
      </c>
      <c r="I566" t="s">
        <v>2931</v>
      </c>
    </row>
    <row r="567" spans="1:9">
      <c r="A567" s="5" t="s">
        <v>327</v>
      </c>
      <c r="B567" s="5" t="s">
        <v>4321</v>
      </c>
      <c r="C567" t="s">
        <v>4322</v>
      </c>
      <c r="D567" t="s">
        <v>327</v>
      </c>
      <c r="E567" t="s">
        <v>327</v>
      </c>
      <c r="F567" t="s">
        <v>327</v>
      </c>
      <c r="G567" t="s">
        <v>327</v>
      </c>
      <c r="H567" t="s">
        <v>327</v>
      </c>
      <c r="I567" t="s">
        <v>2921</v>
      </c>
    </row>
    <row r="568" spans="1:9">
      <c r="A568" s="5" t="s">
        <v>327</v>
      </c>
      <c r="B568" s="5" t="s">
        <v>4323</v>
      </c>
      <c r="C568" t="s">
        <v>4324</v>
      </c>
      <c r="D568" t="s">
        <v>327</v>
      </c>
      <c r="E568" t="s">
        <v>327</v>
      </c>
      <c r="F568" t="s">
        <v>327</v>
      </c>
      <c r="G568" t="s">
        <v>327</v>
      </c>
      <c r="H568" t="s">
        <v>327</v>
      </c>
      <c r="I568" t="s">
        <v>2931</v>
      </c>
    </row>
    <row r="569" spans="1:9">
      <c r="A569" s="5" t="s">
        <v>327</v>
      </c>
      <c r="B569" s="5" t="s">
        <v>4325</v>
      </c>
      <c r="C569" t="s">
        <v>4326</v>
      </c>
      <c r="D569" t="s">
        <v>327</v>
      </c>
      <c r="E569" t="s">
        <v>327</v>
      </c>
      <c r="F569" t="s">
        <v>327</v>
      </c>
      <c r="G569" t="s">
        <v>327</v>
      </c>
      <c r="H569" t="s">
        <v>327</v>
      </c>
      <c r="I569" t="s">
        <v>2931</v>
      </c>
    </row>
    <row r="570" spans="1:9">
      <c r="A570" s="5" t="s">
        <v>327</v>
      </c>
      <c r="B570" s="5" t="s">
        <v>4327</v>
      </c>
      <c r="C570" t="s">
        <v>4328</v>
      </c>
      <c r="D570" t="s">
        <v>327</v>
      </c>
      <c r="E570" t="s">
        <v>327</v>
      </c>
      <c r="F570" t="s">
        <v>327</v>
      </c>
      <c r="G570" t="s">
        <v>327</v>
      </c>
      <c r="H570" t="s">
        <v>327</v>
      </c>
      <c r="I570" t="s">
        <v>2921</v>
      </c>
    </row>
    <row r="571" spans="1:9">
      <c r="A571" s="5" t="s">
        <v>327</v>
      </c>
      <c r="B571" s="5" t="s">
        <v>4329</v>
      </c>
      <c r="C571" t="s">
        <v>4330</v>
      </c>
      <c r="D571" t="s">
        <v>327</v>
      </c>
      <c r="E571" t="s">
        <v>327</v>
      </c>
      <c r="F571" t="s">
        <v>327</v>
      </c>
      <c r="G571" t="s">
        <v>327</v>
      </c>
      <c r="H571" t="s">
        <v>327</v>
      </c>
      <c r="I571" t="s">
        <v>2921</v>
      </c>
    </row>
    <row r="572" spans="1:9">
      <c r="A572" s="5" t="s">
        <v>327</v>
      </c>
      <c r="B572" s="5" t="s">
        <v>4331</v>
      </c>
      <c r="C572" t="s">
        <v>4332</v>
      </c>
      <c r="D572" t="s">
        <v>327</v>
      </c>
      <c r="E572" t="s">
        <v>327</v>
      </c>
      <c r="F572" t="s">
        <v>327</v>
      </c>
      <c r="G572" t="s">
        <v>327</v>
      </c>
      <c r="H572" t="s">
        <v>327</v>
      </c>
      <c r="I572" t="s">
        <v>2931</v>
      </c>
    </row>
    <row r="573" spans="1:9">
      <c r="A573" s="5" t="s">
        <v>327</v>
      </c>
      <c r="B573" s="5" t="s">
        <v>4333</v>
      </c>
      <c r="C573" t="s">
        <v>4334</v>
      </c>
      <c r="D573" t="s">
        <v>327</v>
      </c>
      <c r="E573" t="s">
        <v>327</v>
      </c>
      <c r="F573" t="s">
        <v>327</v>
      </c>
      <c r="G573" t="s">
        <v>327</v>
      </c>
      <c r="H573" t="s">
        <v>327</v>
      </c>
      <c r="I573" t="s">
        <v>2921</v>
      </c>
    </row>
    <row r="574" spans="1:9">
      <c r="A574" s="5" t="s">
        <v>327</v>
      </c>
      <c r="B574" s="5" t="s">
        <v>4335</v>
      </c>
      <c r="C574" t="s">
        <v>4336</v>
      </c>
      <c r="D574" t="s">
        <v>327</v>
      </c>
      <c r="E574" t="s">
        <v>327</v>
      </c>
      <c r="F574" t="s">
        <v>327</v>
      </c>
      <c r="G574" t="s">
        <v>327</v>
      </c>
      <c r="H574" t="s">
        <v>327</v>
      </c>
      <c r="I574" t="s">
        <v>4337</v>
      </c>
    </row>
    <row r="575" spans="1:9">
      <c r="A575" s="5" t="s">
        <v>327</v>
      </c>
      <c r="B575" s="5" t="s">
        <v>4338</v>
      </c>
      <c r="C575" t="s">
        <v>4339</v>
      </c>
      <c r="D575" t="s">
        <v>327</v>
      </c>
      <c r="E575" t="s">
        <v>327</v>
      </c>
      <c r="F575" t="s">
        <v>327</v>
      </c>
      <c r="G575" t="s">
        <v>327</v>
      </c>
      <c r="H575" t="s">
        <v>327</v>
      </c>
      <c r="I575" t="s">
        <v>2931</v>
      </c>
    </row>
    <row r="576" spans="1:9">
      <c r="A576" s="5" t="s">
        <v>327</v>
      </c>
      <c r="B576" s="5" t="s">
        <v>4340</v>
      </c>
      <c r="C576" t="s">
        <v>4341</v>
      </c>
      <c r="D576" t="s">
        <v>327</v>
      </c>
      <c r="E576" t="s">
        <v>327</v>
      </c>
      <c r="F576" t="s">
        <v>327</v>
      </c>
      <c r="G576" t="s">
        <v>327</v>
      </c>
      <c r="H576" t="s">
        <v>327</v>
      </c>
      <c r="I576" t="s">
        <v>2921</v>
      </c>
    </row>
    <row r="577" spans="1:9">
      <c r="A577" s="5" t="s">
        <v>327</v>
      </c>
      <c r="B577" s="5" t="s">
        <v>4342</v>
      </c>
      <c r="C577" t="s">
        <v>4343</v>
      </c>
      <c r="D577" t="s">
        <v>327</v>
      </c>
      <c r="E577" t="s">
        <v>327</v>
      </c>
      <c r="F577" t="s">
        <v>327</v>
      </c>
      <c r="G577" t="s">
        <v>327</v>
      </c>
      <c r="H577" t="s">
        <v>327</v>
      </c>
      <c r="I577" t="s">
        <v>2921</v>
      </c>
    </row>
    <row r="578" spans="1:9">
      <c r="A578" s="5" t="s">
        <v>327</v>
      </c>
      <c r="B578" s="5" t="s">
        <v>4344</v>
      </c>
      <c r="C578" t="s">
        <v>4345</v>
      </c>
      <c r="D578" t="s">
        <v>327</v>
      </c>
      <c r="E578" t="s">
        <v>327</v>
      </c>
      <c r="F578" t="s">
        <v>327</v>
      </c>
      <c r="G578" t="s">
        <v>327</v>
      </c>
      <c r="H578" t="s">
        <v>327</v>
      </c>
      <c r="I578" t="s">
        <v>2921</v>
      </c>
    </row>
    <row r="579" spans="1:9">
      <c r="A579" s="5" t="s">
        <v>327</v>
      </c>
      <c r="B579" s="5" t="s">
        <v>4346</v>
      </c>
      <c r="C579" t="s">
        <v>4347</v>
      </c>
      <c r="D579" t="s">
        <v>327</v>
      </c>
      <c r="E579" t="s">
        <v>327</v>
      </c>
      <c r="F579" t="s">
        <v>327</v>
      </c>
      <c r="G579" t="s">
        <v>327</v>
      </c>
      <c r="H579" t="s">
        <v>327</v>
      </c>
      <c r="I579" t="s">
        <v>4348</v>
      </c>
    </row>
    <row r="580" spans="1:9">
      <c r="A580" s="5" t="s">
        <v>327</v>
      </c>
      <c r="B580" s="5" t="s">
        <v>4349</v>
      </c>
      <c r="C580" t="s">
        <v>4350</v>
      </c>
      <c r="D580" t="s">
        <v>327</v>
      </c>
      <c r="E580" t="s">
        <v>327</v>
      </c>
      <c r="F580" t="s">
        <v>327</v>
      </c>
      <c r="G580" t="s">
        <v>327</v>
      </c>
      <c r="H580" t="s">
        <v>327</v>
      </c>
      <c r="I580" t="s">
        <v>2931</v>
      </c>
    </row>
    <row r="581" spans="1:9">
      <c r="A581" s="5" t="s">
        <v>327</v>
      </c>
      <c r="B581" s="5" t="s">
        <v>4351</v>
      </c>
      <c r="C581" t="s">
        <v>4352</v>
      </c>
      <c r="D581" t="s">
        <v>327</v>
      </c>
      <c r="E581" t="s">
        <v>327</v>
      </c>
      <c r="F581" t="s">
        <v>327</v>
      </c>
      <c r="G581" t="s">
        <v>327</v>
      </c>
      <c r="H581" t="s">
        <v>327</v>
      </c>
      <c r="I581" t="s">
        <v>2921</v>
      </c>
    </row>
    <row r="582" spans="1:9">
      <c r="A582" s="5" t="s">
        <v>327</v>
      </c>
      <c r="B582" s="5" t="s">
        <v>4353</v>
      </c>
      <c r="C582" t="s">
        <v>4354</v>
      </c>
      <c r="D582" t="s">
        <v>327</v>
      </c>
      <c r="E582" t="s">
        <v>327</v>
      </c>
      <c r="F582" t="s">
        <v>327</v>
      </c>
      <c r="G582" t="s">
        <v>327</v>
      </c>
      <c r="H582" t="s">
        <v>327</v>
      </c>
      <c r="I582" t="s">
        <v>2931</v>
      </c>
    </row>
    <row r="583" spans="1:9">
      <c r="A583" s="5" t="s">
        <v>327</v>
      </c>
      <c r="B583" s="5" t="s">
        <v>4355</v>
      </c>
      <c r="C583" t="s">
        <v>4356</v>
      </c>
      <c r="D583" t="s">
        <v>327</v>
      </c>
      <c r="E583" t="s">
        <v>327</v>
      </c>
      <c r="F583" t="s">
        <v>327</v>
      </c>
      <c r="G583" t="s">
        <v>327</v>
      </c>
      <c r="H583" t="s">
        <v>327</v>
      </c>
      <c r="I583" t="s">
        <v>2921</v>
      </c>
    </row>
    <row r="584" spans="1:9">
      <c r="A584" s="5" t="s">
        <v>327</v>
      </c>
      <c r="B584" s="5" t="s">
        <v>4357</v>
      </c>
      <c r="C584" t="s">
        <v>4358</v>
      </c>
      <c r="D584" t="s">
        <v>327</v>
      </c>
      <c r="E584" t="s">
        <v>327</v>
      </c>
      <c r="F584" t="s">
        <v>327</v>
      </c>
      <c r="G584" t="s">
        <v>327</v>
      </c>
      <c r="H584" t="s">
        <v>327</v>
      </c>
      <c r="I584" t="s">
        <v>2931</v>
      </c>
    </row>
    <row r="585" spans="1:9">
      <c r="A585" s="5" t="s">
        <v>327</v>
      </c>
      <c r="B585" s="5" t="s">
        <v>4359</v>
      </c>
      <c r="C585" t="s">
        <v>4360</v>
      </c>
      <c r="D585" t="s">
        <v>327</v>
      </c>
      <c r="E585" t="s">
        <v>327</v>
      </c>
      <c r="F585" t="s">
        <v>327</v>
      </c>
      <c r="G585" t="s">
        <v>327</v>
      </c>
      <c r="H585" t="s">
        <v>327</v>
      </c>
      <c r="I585" t="s">
        <v>2921</v>
      </c>
    </row>
    <row r="586" spans="1:9">
      <c r="A586" s="5" t="s">
        <v>327</v>
      </c>
      <c r="B586" s="5" t="s">
        <v>4361</v>
      </c>
      <c r="C586" t="s">
        <v>4362</v>
      </c>
      <c r="D586" t="s">
        <v>327</v>
      </c>
      <c r="E586" t="s">
        <v>327</v>
      </c>
      <c r="F586" t="s">
        <v>327</v>
      </c>
      <c r="G586" t="s">
        <v>327</v>
      </c>
      <c r="H586" t="s">
        <v>327</v>
      </c>
      <c r="I586" t="s">
        <v>2931</v>
      </c>
    </row>
    <row r="587" spans="1:9">
      <c r="A587" s="5" t="s">
        <v>327</v>
      </c>
      <c r="B587" s="5" t="s">
        <v>4363</v>
      </c>
      <c r="C587" t="s">
        <v>4364</v>
      </c>
      <c r="D587" t="s">
        <v>327</v>
      </c>
      <c r="E587" t="s">
        <v>327</v>
      </c>
      <c r="F587" t="s">
        <v>327</v>
      </c>
      <c r="G587" t="s">
        <v>327</v>
      </c>
      <c r="H587" t="s">
        <v>327</v>
      </c>
      <c r="I587" t="s">
        <v>2931</v>
      </c>
    </row>
    <row r="588" spans="1:9">
      <c r="A588" s="5" t="s">
        <v>327</v>
      </c>
      <c r="B588" s="5" t="s">
        <v>4365</v>
      </c>
      <c r="C588" t="s">
        <v>4366</v>
      </c>
      <c r="D588" t="s">
        <v>327</v>
      </c>
      <c r="E588" t="s">
        <v>327</v>
      </c>
      <c r="F588" t="s">
        <v>327</v>
      </c>
      <c r="G588" t="s">
        <v>327</v>
      </c>
      <c r="H588" t="s">
        <v>327</v>
      </c>
      <c r="I588" t="s">
        <v>4259</v>
      </c>
    </row>
    <row r="589" spans="1:9">
      <c r="A589" s="5" t="s">
        <v>327</v>
      </c>
      <c r="B589" s="5" t="s">
        <v>4367</v>
      </c>
      <c r="C589" t="s">
        <v>4368</v>
      </c>
      <c r="D589" t="s">
        <v>327</v>
      </c>
      <c r="E589" t="s">
        <v>327</v>
      </c>
      <c r="F589" t="s">
        <v>327</v>
      </c>
      <c r="G589" t="s">
        <v>327</v>
      </c>
      <c r="H589" t="s">
        <v>327</v>
      </c>
      <c r="I589" t="s">
        <v>2921</v>
      </c>
    </row>
    <row r="590" spans="1:9">
      <c r="A590" s="5" t="s">
        <v>327</v>
      </c>
      <c r="B590" s="5" t="s">
        <v>4369</v>
      </c>
      <c r="C590" t="s">
        <v>4370</v>
      </c>
      <c r="D590" t="s">
        <v>327</v>
      </c>
      <c r="E590" t="s">
        <v>327</v>
      </c>
      <c r="F590" t="s">
        <v>327</v>
      </c>
      <c r="G590" t="s">
        <v>327</v>
      </c>
      <c r="H590" t="s">
        <v>327</v>
      </c>
      <c r="I590" t="s">
        <v>2921</v>
      </c>
    </row>
    <row r="591" spans="1:9">
      <c r="A591" s="5" t="s">
        <v>327</v>
      </c>
      <c r="B591" s="5" t="s">
        <v>4371</v>
      </c>
      <c r="C591" t="s">
        <v>4372</v>
      </c>
      <c r="D591" t="s">
        <v>327</v>
      </c>
      <c r="E591" t="s">
        <v>327</v>
      </c>
      <c r="F591" t="s">
        <v>327</v>
      </c>
      <c r="G591" t="s">
        <v>327</v>
      </c>
      <c r="H591" t="s">
        <v>327</v>
      </c>
      <c r="I591" t="s">
        <v>4373</v>
      </c>
    </row>
    <row r="592" spans="1:9">
      <c r="A592" s="5" t="s">
        <v>327</v>
      </c>
      <c r="B592" s="5" t="s">
        <v>4374</v>
      </c>
      <c r="C592" t="s">
        <v>4375</v>
      </c>
      <c r="D592" t="s">
        <v>327</v>
      </c>
      <c r="E592" t="s">
        <v>327</v>
      </c>
      <c r="F592" t="s">
        <v>327</v>
      </c>
      <c r="G592" t="s">
        <v>327</v>
      </c>
      <c r="H592" t="s">
        <v>327</v>
      </c>
      <c r="I592" t="s">
        <v>2921</v>
      </c>
    </row>
    <row r="593" spans="1:9">
      <c r="A593" s="5" t="s">
        <v>327</v>
      </c>
      <c r="B593" s="5" t="s">
        <v>4376</v>
      </c>
      <c r="C593" t="s">
        <v>4377</v>
      </c>
      <c r="D593" t="s">
        <v>327</v>
      </c>
      <c r="E593" t="s">
        <v>327</v>
      </c>
      <c r="F593" t="s">
        <v>327</v>
      </c>
      <c r="G593" t="s">
        <v>327</v>
      </c>
      <c r="H593" t="s">
        <v>327</v>
      </c>
      <c r="I593" t="s">
        <v>2990</v>
      </c>
    </row>
    <row r="594" spans="1:9">
      <c r="A594" s="5" t="s">
        <v>327</v>
      </c>
      <c r="B594" s="5" t="s">
        <v>4378</v>
      </c>
      <c r="C594" t="s">
        <v>4379</v>
      </c>
      <c r="D594" t="s">
        <v>327</v>
      </c>
      <c r="E594" t="s">
        <v>327</v>
      </c>
      <c r="F594" t="s">
        <v>327</v>
      </c>
      <c r="G594" t="s">
        <v>327</v>
      </c>
      <c r="H594" t="s">
        <v>327</v>
      </c>
      <c r="I594" t="s">
        <v>2931</v>
      </c>
    </row>
    <row r="595" spans="1:9">
      <c r="A595" s="5" t="s">
        <v>327</v>
      </c>
      <c r="B595" s="5" t="s">
        <v>4380</v>
      </c>
      <c r="C595" t="s">
        <v>4381</v>
      </c>
      <c r="D595" t="s">
        <v>327</v>
      </c>
      <c r="E595" t="s">
        <v>327</v>
      </c>
      <c r="F595" t="s">
        <v>327</v>
      </c>
      <c r="G595" t="s">
        <v>327</v>
      </c>
      <c r="H595" t="s">
        <v>327</v>
      </c>
      <c r="I595" t="s">
        <v>4382</v>
      </c>
    </row>
    <row r="596" spans="1:9">
      <c r="A596" s="5" t="s">
        <v>327</v>
      </c>
      <c r="B596" s="5" t="s">
        <v>4383</v>
      </c>
      <c r="C596" t="s">
        <v>4384</v>
      </c>
      <c r="D596" t="s">
        <v>327</v>
      </c>
      <c r="E596" t="s">
        <v>327</v>
      </c>
      <c r="F596" t="s">
        <v>327</v>
      </c>
      <c r="G596" t="s">
        <v>327</v>
      </c>
      <c r="H596" t="s">
        <v>327</v>
      </c>
      <c r="I596" t="s">
        <v>1534</v>
      </c>
    </row>
    <row r="597" spans="1:9">
      <c r="A597" s="5" t="s">
        <v>327</v>
      </c>
      <c r="B597" s="5" t="s">
        <v>4385</v>
      </c>
      <c r="C597" t="s">
        <v>4386</v>
      </c>
      <c r="D597" t="s">
        <v>327</v>
      </c>
      <c r="E597" t="s">
        <v>327</v>
      </c>
      <c r="F597" t="s">
        <v>327</v>
      </c>
      <c r="G597" t="s">
        <v>327</v>
      </c>
      <c r="H597" t="s">
        <v>327</v>
      </c>
      <c r="I597" t="s">
        <v>2921</v>
      </c>
    </row>
    <row r="598" spans="1:9">
      <c r="A598" s="5" t="s">
        <v>327</v>
      </c>
      <c r="B598" s="5" t="s">
        <v>4387</v>
      </c>
      <c r="C598" t="s">
        <v>4388</v>
      </c>
      <c r="D598" t="s">
        <v>327</v>
      </c>
      <c r="E598" t="s">
        <v>327</v>
      </c>
      <c r="F598" t="s">
        <v>327</v>
      </c>
      <c r="G598" t="s">
        <v>327</v>
      </c>
      <c r="H598" t="s">
        <v>327</v>
      </c>
      <c r="I598" t="s">
        <v>2931</v>
      </c>
    </row>
    <row r="599" spans="1:9">
      <c r="A599" s="5" t="s">
        <v>327</v>
      </c>
      <c r="B599" s="5" t="s">
        <v>4389</v>
      </c>
      <c r="C599" t="s">
        <v>4390</v>
      </c>
      <c r="D599" t="s">
        <v>327</v>
      </c>
      <c r="E599" t="s">
        <v>327</v>
      </c>
      <c r="F599" t="s">
        <v>327</v>
      </c>
      <c r="G599" t="s">
        <v>327</v>
      </c>
      <c r="H599" t="s">
        <v>327</v>
      </c>
      <c r="I599" t="s">
        <v>2931</v>
      </c>
    </row>
    <row r="600" spans="1:9">
      <c r="A600" s="5" t="s">
        <v>327</v>
      </c>
      <c r="B600" s="5" t="s">
        <v>4391</v>
      </c>
      <c r="C600" t="s">
        <v>4392</v>
      </c>
      <c r="D600" t="s">
        <v>327</v>
      </c>
      <c r="E600" t="s">
        <v>327</v>
      </c>
      <c r="F600" t="s">
        <v>327</v>
      </c>
      <c r="G600" t="s">
        <v>327</v>
      </c>
      <c r="H600" t="s">
        <v>327</v>
      </c>
      <c r="I600" t="s">
        <v>2921</v>
      </c>
    </row>
    <row r="601" spans="1:9">
      <c r="A601" s="5" t="s">
        <v>327</v>
      </c>
      <c r="B601" s="5" t="s">
        <v>4393</v>
      </c>
      <c r="C601" t="s">
        <v>4394</v>
      </c>
      <c r="D601" t="s">
        <v>327</v>
      </c>
      <c r="E601" t="s">
        <v>327</v>
      </c>
      <c r="F601" t="s">
        <v>327</v>
      </c>
      <c r="G601" t="s">
        <v>327</v>
      </c>
      <c r="H601" t="s">
        <v>327</v>
      </c>
      <c r="I601" t="s">
        <v>2921</v>
      </c>
    </row>
    <row r="602" spans="1:9">
      <c r="A602" s="5" t="s">
        <v>327</v>
      </c>
      <c r="B602" s="5" t="s">
        <v>4395</v>
      </c>
      <c r="C602" t="s">
        <v>4396</v>
      </c>
      <c r="D602" t="s">
        <v>327</v>
      </c>
      <c r="E602" t="s">
        <v>327</v>
      </c>
      <c r="F602" t="s">
        <v>327</v>
      </c>
      <c r="G602" t="s">
        <v>327</v>
      </c>
      <c r="H602" t="s">
        <v>327</v>
      </c>
      <c r="I602" t="s">
        <v>2921</v>
      </c>
    </row>
    <row r="603" spans="1:9">
      <c r="A603" s="5" t="s">
        <v>327</v>
      </c>
      <c r="B603" s="5" t="s">
        <v>4397</v>
      </c>
      <c r="C603" t="s">
        <v>4398</v>
      </c>
      <c r="D603" t="s">
        <v>327</v>
      </c>
      <c r="E603" t="s">
        <v>327</v>
      </c>
      <c r="F603" t="s">
        <v>327</v>
      </c>
      <c r="G603" t="s">
        <v>327</v>
      </c>
      <c r="H603" t="s">
        <v>327</v>
      </c>
      <c r="I603" t="s">
        <v>2931</v>
      </c>
    </row>
    <row r="604" spans="1:9">
      <c r="A604" s="5" t="s">
        <v>327</v>
      </c>
      <c r="B604" s="5" t="s">
        <v>4399</v>
      </c>
      <c r="C604" t="s">
        <v>4400</v>
      </c>
      <c r="D604" t="s">
        <v>327</v>
      </c>
      <c r="E604" t="s">
        <v>327</v>
      </c>
      <c r="F604" t="s">
        <v>327</v>
      </c>
      <c r="G604" t="s">
        <v>327</v>
      </c>
      <c r="H604" t="s">
        <v>327</v>
      </c>
      <c r="I604" t="s">
        <v>2921</v>
      </c>
    </row>
    <row r="605" spans="1:9">
      <c r="A605" s="5" t="s">
        <v>327</v>
      </c>
      <c r="B605" s="5" t="s">
        <v>4401</v>
      </c>
      <c r="C605" t="s">
        <v>4402</v>
      </c>
      <c r="D605" t="s">
        <v>327</v>
      </c>
      <c r="E605" t="s">
        <v>327</v>
      </c>
      <c r="F605" t="s">
        <v>327</v>
      </c>
      <c r="G605" t="s">
        <v>327</v>
      </c>
      <c r="H605" t="s">
        <v>327</v>
      </c>
      <c r="I605" t="s">
        <v>2931</v>
      </c>
    </row>
    <row r="606" spans="1:9">
      <c r="A606" s="5" t="s">
        <v>327</v>
      </c>
      <c r="B606" s="5" t="s">
        <v>4403</v>
      </c>
      <c r="C606" t="s">
        <v>4404</v>
      </c>
      <c r="D606" t="s">
        <v>327</v>
      </c>
      <c r="E606" t="s">
        <v>327</v>
      </c>
      <c r="F606" t="s">
        <v>327</v>
      </c>
      <c r="G606" t="s">
        <v>327</v>
      </c>
      <c r="H606" t="s">
        <v>327</v>
      </c>
      <c r="I606" t="s">
        <v>2921</v>
      </c>
    </row>
    <row r="607" spans="1:9">
      <c r="A607" s="5" t="s">
        <v>327</v>
      </c>
      <c r="B607" s="5" t="s">
        <v>4405</v>
      </c>
      <c r="C607" t="s">
        <v>4406</v>
      </c>
      <c r="D607" t="s">
        <v>327</v>
      </c>
      <c r="E607" t="s">
        <v>327</v>
      </c>
      <c r="F607" t="s">
        <v>327</v>
      </c>
      <c r="G607" t="s">
        <v>327</v>
      </c>
      <c r="H607" t="s">
        <v>327</v>
      </c>
      <c r="I607" t="s">
        <v>2931</v>
      </c>
    </row>
    <row r="608" spans="1:9">
      <c r="A608" s="5" t="s">
        <v>327</v>
      </c>
      <c r="B608" s="5" t="s">
        <v>4407</v>
      </c>
      <c r="C608" t="s">
        <v>4408</v>
      </c>
      <c r="D608" t="s">
        <v>327</v>
      </c>
      <c r="E608" t="s">
        <v>327</v>
      </c>
      <c r="F608" t="s">
        <v>327</v>
      </c>
      <c r="G608" t="s">
        <v>327</v>
      </c>
      <c r="H608" t="s">
        <v>327</v>
      </c>
      <c r="I608" t="s">
        <v>2921</v>
      </c>
    </row>
    <row r="609" spans="1:9">
      <c r="A609" s="5" t="s">
        <v>327</v>
      </c>
      <c r="B609" s="5" t="s">
        <v>4409</v>
      </c>
      <c r="C609" t="s">
        <v>4410</v>
      </c>
      <c r="D609" t="s">
        <v>327</v>
      </c>
      <c r="E609" t="s">
        <v>327</v>
      </c>
      <c r="F609" t="s">
        <v>327</v>
      </c>
      <c r="G609" t="s">
        <v>327</v>
      </c>
      <c r="H609" t="s">
        <v>327</v>
      </c>
      <c r="I609" t="s">
        <v>2931</v>
      </c>
    </row>
    <row r="610" spans="1:9">
      <c r="A610" s="5" t="s">
        <v>327</v>
      </c>
      <c r="B610" s="5" t="s">
        <v>4411</v>
      </c>
      <c r="C610" t="s">
        <v>4412</v>
      </c>
      <c r="D610" t="s">
        <v>327</v>
      </c>
      <c r="E610" t="s">
        <v>327</v>
      </c>
      <c r="F610" t="s">
        <v>327</v>
      </c>
      <c r="G610" t="s">
        <v>327</v>
      </c>
      <c r="H610" t="s">
        <v>327</v>
      </c>
      <c r="I610" t="s">
        <v>2990</v>
      </c>
    </row>
    <row r="611" spans="1:9">
      <c r="A611" s="5" t="s">
        <v>327</v>
      </c>
      <c r="B611" s="5" t="s">
        <v>4413</v>
      </c>
      <c r="C611" t="s">
        <v>4414</v>
      </c>
      <c r="D611" t="s">
        <v>327</v>
      </c>
      <c r="E611" t="s">
        <v>327</v>
      </c>
      <c r="F611" t="s">
        <v>327</v>
      </c>
      <c r="G611" t="s">
        <v>327</v>
      </c>
      <c r="H611" t="s">
        <v>327</v>
      </c>
      <c r="I611" t="s">
        <v>2931</v>
      </c>
    </row>
    <row r="612" spans="1:9">
      <c r="A612" s="5" t="s">
        <v>327</v>
      </c>
      <c r="B612" s="5" t="s">
        <v>4415</v>
      </c>
      <c r="C612" t="s">
        <v>4416</v>
      </c>
      <c r="D612" t="s">
        <v>327</v>
      </c>
      <c r="E612" t="s">
        <v>327</v>
      </c>
      <c r="F612" t="s">
        <v>327</v>
      </c>
      <c r="G612" t="s">
        <v>327</v>
      </c>
      <c r="H612" t="s">
        <v>327</v>
      </c>
      <c r="I612" t="s">
        <v>2921</v>
      </c>
    </row>
    <row r="613" spans="1:9">
      <c r="A613" s="5" t="s">
        <v>327</v>
      </c>
      <c r="B613" s="5" t="s">
        <v>4417</v>
      </c>
      <c r="C613" t="s">
        <v>4418</v>
      </c>
      <c r="D613" t="s">
        <v>327</v>
      </c>
      <c r="E613" t="s">
        <v>327</v>
      </c>
      <c r="F613" t="s">
        <v>327</v>
      </c>
      <c r="G613" t="s">
        <v>327</v>
      </c>
      <c r="H613" t="s">
        <v>327</v>
      </c>
      <c r="I613" t="s">
        <v>2921</v>
      </c>
    </row>
    <row r="614" spans="1:9">
      <c r="A614" s="5" t="s">
        <v>327</v>
      </c>
      <c r="B614" s="5" t="s">
        <v>4419</v>
      </c>
      <c r="C614" t="s">
        <v>4420</v>
      </c>
      <c r="D614" t="s">
        <v>327</v>
      </c>
      <c r="E614" t="s">
        <v>327</v>
      </c>
      <c r="F614" t="s">
        <v>327</v>
      </c>
      <c r="G614" t="s">
        <v>327</v>
      </c>
      <c r="H614" t="s">
        <v>327</v>
      </c>
      <c r="I614" t="s">
        <v>2931</v>
      </c>
    </row>
    <row r="615" spans="1:9">
      <c r="A615" s="5" t="s">
        <v>327</v>
      </c>
      <c r="B615" s="5" t="s">
        <v>4421</v>
      </c>
      <c r="C615" t="s">
        <v>4422</v>
      </c>
      <c r="D615" t="s">
        <v>327</v>
      </c>
      <c r="E615" t="s">
        <v>327</v>
      </c>
      <c r="F615" t="s">
        <v>327</v>
      </c>
      <c r="G615" t="s">
        <v>327</v>
      </c>
      <c r="H615" t="s">
        <v>327</v>
      </c>
      <c r="I615" t="s">
        <v>2931</v>
      </c>
    </row>
    <row r="616" spans="1:9">
      <c r="A616" s="5" t="s">
        <v>327</v>
      </c>
      <c r="B616" s="5" t="s">
        <v>4423</v>
      </c>
      <c r="C616" t="s">
        <v>4424</v>
      </c>
      <c r="D616" t="s">
        <v>327</v>
      </c>
      <c r="E616" t="s">
        <v>327</v>
      </c>
      <c r="F616" t="s">
        <v>327</v>
      </c>
      <c r="G616" t="s">
        <v>327</v>
      </c>
      <c r="H616" t="s">
        <v>327</v>
      </c>
      <c r="I616" t="s">
        <v>2931</v>
      </c>
    </row>
    <row r="617" spans="1:9">
      <c r="A617" s="5" t="s">
        <v>327</v>
      </c>
      <c r="B617" s="5" t="s">
        <v>4425</v>
      </c>
      <c r="C617" t="s">
        <v>4426</v>
      </c>
      <c r="D617" t="s">
        <v>327</v>
      </c>
      <c r="E617" t="s">
        <v>327</v>
      </c>
      <c r="F617" t="s">
        <v>327</v>
      </c>
      <c r="G617" t="s">
        <v>327</v>
      </c>
      <c r="H617" t="s">
        <v>327</v>
      </c>
      <c r="I617" t="s">
        <v>2990</v>
      </c>
    </row>
    <row r="618" spans="1:9">
      <c r="A618" s="5" t="s">
        <v>327</v>
      </c>
      <c r="B618" s="5" t="s">
        <v>4427</v>
      </c>
      <c r="C618" t="s">
        <v>4428</v>
      </c>
      <c r="D618" t="s">
        <v>327</v>
      </c>
      <c r="E618" t="s">
        <v>327</v>
      </c>
      <c r="F618" t="s">
        <v>327</v>
      </c>
      <c r="G618" t="s">
        <v>327</v>
      </c>
      <c r="H618" t="s">
        <v>327</v>
      </c>
      <c r="I618" t="s">
        <v>2931</v>
      </c>
    </row>
    <row r="619" spans="1:9">
      <c r="A619" s="5" t="s">
        <v>327</v>
      </c>
      <c r="B619" s="5" t="s">
        <v>4429</v>
      </c>
      <c r="C619" t="s">
        <v>4430</v>
      </c>
      <c r="D619" t="s">
        <v>327</v>
      </c>
      <c r="E619" t="s">
        <v>327</v>
      </c>
      <c r="F619" t="s">
        <v>327</v>
      </c>
      <c r="G619" t="s">
        <v>327</v>
      </c>
      <c r="H619" t="s">
        <v>327</v>
      </c>
      <c r="I619" t="s">
        <v>2931</v>
      </c>
    </row>
    <row r="620" spans="1:9">
      <c r="A620" s="5" t="s">
        <v>327</v>
      </c>
      <c r="B620" s="5" t="s">
        <v>4431</v>
      </c>
      <c r="C620" t="s">
        <v>4432</v>
      </c>
      <c r="D620" t="s">
        <v>327</v>
      </c>
      <c r="E620" t="s">
        <v>327</v>
      </c>
      <c r="F620" t="s">
        <v>327</v>
      </c>
      <c r="G620" t="s">
        <v>327</v>
      </c>
      <c r="H620" t="s">
        <v>327</v>
      </c>
      <c r="I620" t="s">
        <v>2921</v>
      </c>
    </row>
    <row r="621" spans="1:9">
      <c r="A621" s="5" t="s">
        <v>327</v>
      </c>
      <c r="B621" s="5" t="s">
        <v>4433</v>
      </c>
      <c r="C621" t="s">
        <v>4434</v>
      </c>
      <c r="D621" t="s">
        <v>327</v>
      </c>
      <c r="E621" t="s">
        <v>327</v>
      </c>
      <c r="F621" t="s">
        <v>327</v>
      </c>
      <c r="G621" t="s">
        <v>327</v>
      </c>
      <c r="H621" t="s">
        <v>327</v>
      </c>
      <c r="I621" t="s">
        <v>2931</v>
      </c>
    </row>
    <row r="622" spans="1:9">
      <c r="A622" s="5" t="s">
        <v>327</v>
      </c>
      <c r="B622" s="5" t="s">
        <v>4435</v>
      </c>
      <c r="C622" t="s">
        <v>4436</v>
      </c>
      <c r="D622" t="s">
        <v>327</v>
      </c>
      <c r="E622" t="s">
        <v>327</v>
      </c>
      <c r="F622" t="s">
        <v>327</v>
      </c>
      <c r="G622" t="s">
        <v>327</v>
      </c>
      <c r="H622" t="s">
        <v>327</v>
      </c>
      <c r="I622" t="s">
        <v>2921</v>
      </c>
    </row>
    <row r="623" spans="1:9">
      <c r="A623" s="5" t="s">
        <v>327</v>
      </c>
      <c r="B623" s="5" t="s">
        <v>4437</v>
      </c>
      <c r="C623" t="s">
        <v>4438</v>
      </c>
      <c r="D623" t="s">
        <v>327</v>
      </c>
      <c r="E623" t="s">
        <v>327</v>
      </c>
      <c r="F623" t="s">
        <v>327</v>
      </c>
      <c r="G623" t="s">
        <v>327</v>
      </c>
      <c r="H623" t="s">
        <v>327</v>
      </c>
      <c r="I623" t="s">
        <v>2931</v>
      </c>
    </row>
    <row r="624" spans="1:9">
      <c r="A624" s="5" t="s">
        <v>327</v>
      </c>
      <c r="B624" s="5" t="s">
        <v>4439</v>
      </c>
      <c r="C624" t="s">
        <v>4440</v>
      </c>
      <c r="D624" t="s">
        <v>327</v>
      </c>
      <c r="E624" t="s">
        <v>327</v>
      </c>
      <c r="F624" t="s">
        <v>327</v>
      </c>
      <c r="G624" t="s">
        <v>327</v>
      </c>
      <c r="H624" t="s">
        <v>327</v>
      </c>
      <c r="I624" t="s">
        <v>2921</v>
      </c>
    </row>
    <row r="625" spans="1:9">
      <c r="A625" s="5" t="s">
        <v>327</v>
      </c>
      <c r="B625" s="5" t="s">
        <v>4441</v>
      </c>
      <c r="C625" t="s">
        <v>4442</v>
      </c>
      <c r="D625" t="s">
        <v>327</v>
      </c>
      <c r="E625" t="s">
        <v>327</v>
      </c>
      <c r="F625" t="s">
        <v>327</v>
      </c>
      <c r="G625" t="s">
        <v>327</v>
      </c>
      <c r="H625" t="s">
        <v>327</v>
      </c>
      <c r="I625" t="s">
        <v>2921</v>
      </c>
    </row>
    <row r="626" spans="1:9">
      <c r="A626" s="5" t="s">
        <v>327</v>
      </c>
      <c r="B626" s="5" t="s">
        <v>4443</v>
      </c>
      <c r="C626" t="s">
        <v>4444</v>
      </c>
      <c r="D626" t="s">
        <v>327</v>
      </c>
      <c r="E626" t="s">
        <v>327</v>
      </c>
      <c r="F626" t="s">
        <v>327</v>
      </c>
      <c r="G626" t="s">
        <v>327</v>
      </c>
      <c r="H626" t="s">
        <v>327</v>
      </c>
      <c r="I626" t="s">
        <v>2921</v>
      </c>
    </row>
    <row r="627" spans="1:9">
      <c r="A627" s="5" t="s">
        <v>327</v>
      </c>
      <c r="B627" s="5" t="s">
        <v>4445</v>
      </c>
      <c r="C627" t="s">
        <v>4446</v>
      </c>
      <c r="D627" t="s">
        <v>327</v>
      </c>
      <c r="E627" t="s">
        <v>327</v>
      </c>
      <c r="F627" t="s">
        <v>327</v>
      </c>
      <c r="G627" t="s">
        <v>327</v>
      </c>
      <c r="H627" t="s">
        <v>327</v>
      </c>
      <c r="I627" t="s">
        <v>2921</v>
      </c>
    </row>
    <row r="628" spans="1:9">
      <c r="A628" s="5" t="s">
        <v>327</v>
      </c>
      <c r="B628" s="5" t="s">
        <v>4447</v>
      </c>
      <c r="C628" t="s">
        <v>4448</v>
      </c>
      <c r="D628" t="s">
        <v>327</v>
      </c>
      <c r="E628" t="s">
        <v>327</v>
      </c>
      <c r="F628" t="s">
        <v>327</v>
      </c>
      <c r="G628" t="s">
        <v>327</v>
      </c>
      <c r="H628" t="s">
        <v>327</v>
      </c>
      <c r="I628" t="s">
        <v>2921</v>
      </c>
    </row>
    <row r="629" spans="1:9">
      <c r="A629" s="5" t="s">
        <v>327</v>
      </c>
      <c r="B629" s="5" t="s">
        <v>4449</v>
      </c>
      <c r="C629" t="s">
        <v>4450</v>
      </c>
      <c r="D629" t="s">
        <v>327</v>
      </c>
      <c r="E629" t="s">
        <v>327</v>
      </c>
      <c r="F629" t="s">
        <v>327</v>
      </c>
      <c r="G629" t="s">
        <v>327</v>
      </c>
      <c r="H629" t="s">
        <v>327</v>
      </c>
      <c r="I629" t="s">
        <v>2921</v>
      </c>
    </row>
    <row r="630" spans="1:9">
      <c r="A630" s="5" t="s">
        <v>327</v>
      </c>
      <c r="B630" s="5" t="s">
        <v>4451</v>
      </c>
      <c r="C630" t="s">
        <v>4452</v>
      </c>
      <c r="D630" t="s">
        <v>327</v>
      </c>
      <c r="E630" t="s">
        <v>327</v>
      </c>
      <c r="F630" t="s">
        <v>327</v>
      </c>
      <c r="G630" t="s">
        <v>327</v>
      </c>
      <c r="H630" t="s">
        <v>327</v>
      </c>
      <c r="I630" t="s">
        <v>2931</v>
      </c>
    </row>
    <row r="631" spans="1:9">
      <c r="A631" s="5" t="s">
        <v>327</v>
      </c>
      <c r="B631" s="5" t="s">
        <v>4453</v>
      </c>
      <c r="C631" t="s">
        <v>4454</v>
      </c>
      <c r="D631" t="s">
        <v>327</v>
      </c>
      <c r="E631" t="s">
        <v>327</v>
      </c>
      <c r="F631" t="s">
        <v>327</v>
      </c>
      <c r="G631" t="s">
        <v>327</v>
      </c>
      <c r="H631" t="s">
        <v>327</v>
      </c>
      <c r="I631" t="s">
        <v>2931</v>
      </c>
    </row>
    <row r="632" spans="1:9">
      <c r="A632" s="5" t="s">
        <v>327</v>
      </c>
      <c r="B632" s="5" t="s">
        <v>4455</v>
      </c>
      <c r="C632" t="s">
        <v>4456</v>
      </c>
      <c r="D632" t="s">
        <v>327</v>
      </c>
      <c r="E632" t="s">
        <v>327</v>
      </c>
      <c r="F632" t="s">
        <v>327</v>
      </c>
      <c r="G632" t="s">
        <v>327</v>
      </c>
      <c r="H632" t="s">
        <v>327</v>
      </c>
      <c r="I632" t="s">
        <v>2921</v>
      </c>
    </row>
    <row r="633" spans="1:9">
      <c r="A633" s="5" t="s">
        <v>327</v>
      </c>
      <c r="B633" s="5" t="s">
        <v>4457</v>
      </c>
      <c r="C633" t="s">
        <v>4458</v>
      </c>
      <c r="D633" t="s">
        <v>327</v>
      </c>
      <c r="E633" t="s">
        <v>327</v>
      </c>
      <c r="F633" t="s">
        <v>327</v>
      </c>
      <c r="G633" t="s">
        <v>327</v>
      </c>
      <c r="H633" t="s">
        <v>327</v>
      </c>
      <c r="I633" t="s">
        <v>2921</v>
      </c>
    </row>
    <row r="634" spans="1:9">
      <c r="A634" s="5" t="s">
        <v>327</v>
      </c>
      <c r="B634" s="5" t="s">
        <v>4459</v>
      </c>
      <c r="C634" t="s">
        <v>4460</v>
      </c>
      <c r="D634" t="s">
        <v>327</v>
      </c>
      <c r="E634" t="s">
        <v>327</v>
      </c>
      <c r="F634" t="s">
        <v>327</v>
      </c>
      <c r="G634" t="s">
        <v>327</v>
      </c>
      <c r="H634" t="s">
        <v>327</v>
      </c>
      <c r="I634" t="s">
        <v>4461</v>
      </c>
    </row>
    <row r="635" spans="1:9">
      <c r="A635" s="5" t="s">
        <v>327</v>
      </c>
      <c r="B635" s="5" t="s">
        <v>4462</v>
      </c>
      <c r="C635" t="s">
        <v>4463</v>
      </c>
      <c r="D635" t="s">
        <v>327</v>
      </c>
      <c r="E635" t="s">
        <v>327</v>
      </c>
      <c r="F635" t="s">
        <v>327</v>
      </c>
      <c r="G635" t="s">
        <v>327</v>
      </c>
      <c r="H635" t="s">
        <v>327</v>
      </c>
      <c r="I635" t="s">
        <v>2931</v>
      </c>
    </row>
    <row r="636" spans="1:9">
      <c r="A636" s="5" t="s">
        <v>327</v>
      </c>
      <c r="B636" s="5" t="s">
        <v>4464</v>
      </c>
      <c r="C636" t="s">
        <v>4465</v>
      </c>
      <c r="D636" t="s">
        <v>327</v>
      </c>
      <c r="E636" t="s">
        <v>327</v>
      </c>
      <c r="F636" t="s">
        <v>327</v>
      </c>
      <c r="G636" t="s">
        <v>327</v>
      </c>
      <c r="H636" t="s">
        <v>327</v>
      </c>
      <c r="I636" t="s">
        <v>2931</v>
      </c>
    </row>
    <row r="637" spans="1:9">
      <c r="A637" s="5" t="s">
        <v>327</v>
      </c>
      <c r="B637" s="5" t="s">
        <v>4466</v>
      </c>
      <c r="C637" t="s">
        <v>4467</v>
      </c>
      <c r="D637" t="s">
        <v>327</v>
      </c>
      <c r="E637" t="s">
        <v>327</v>
      </c>
      <c r="F637" t="s">
        <v>327</v>
      </c>
      <c r="G637" t="s">
        <v>327</v>
      </c>
      <c r="H637" t="s">
        <v>327</v>
      </c>
      <c r="I637" t="s">
        <v>2990</v>
      </c>
    </row>
    <row r="638" spans="1:9">
      <c r="A638" s="5" t="s">
        <v>327</v>
      </c>
      <c r="B638" s="5" t="s">
        <v>4468</v>
      </c>
      <c r="C638" t="s">
        <v>4469</v>
      </c>
      <c r="D638" t="s">
        <v>327</v>
      </c>
      <c r="E638" t="s">
        <v>327</v>
      </c>
      <c r="F638" t="s">
        <v>327</v>
      </c>
      <c r="G638" t="s">
        <v>327</v>
      </c>
      <c r="H638" t="s">
        <v>327</v>
      </c>
      <c r="I638" t="s">
        <v>2931</v>
      </c>
    </row>
    <row r="639" spans="1:9">
      <c r="A639" s="5" t="s">
        <v>327</v>
      </c>
      <c r="B639" s="5" t="s">
        <v>4470</v>
      </c>
      <c r="C639" t="s">
        <v>4471</v>
      </c>
      <c r="D639" t="s">
        <v>327</v>
      </c>
      <c r="E639" t="s">
        <v>327</v>
      </c>
      <c r="F639" t="s">
        <v>327</v>
      </c>
      <c r="G639" t="s">
        <v>327</v>
      </c>
      <c r="H639" t="s">
        <v>327</v>
      </c>
      <c r="I639" t="s">
        <v>2990</v>
      </c>
    </row>
    <row r="640" spans="1:9">
      <c r="A640" s="5" t="s">
        <v>327</v>
      </c>
      <c r="B640" s="5" t="s">
        <v>4472</v>
      </c>
      <c r="C640" t="s">
        <v>4473</v>
      </c>
      <c r="D640" t="s">
        <v>327</v>
      </c>
      <c r="E640" t="s">
        <v>327</v>
      </c>
      <c r="F640" t="s">
        <v>327</v>
      </c>
      <c r="G640" t="s">
        <v>327</v>
      </c>
      <c r="H640" t="s">
        <v>327</v>
      </c>
      <c r="I640" t="s">
        <v>4474</v>
      </c>
    </row>
    <row r="641" spans="1:9">
      <c r="A641" s="5" t="s">
        <v>327</v>
      </c>
      <c r="B641" s="5" t="s">
        <v>4475</v>
      </c>
      <c r="C641" t="s">
        <v>4476</v>
      </c>
      <c r="D641" t="s">
        <v>327</v>
      </c>
      <c r="E641" t="s">
        <v>327</v>
      </c>
      <c r="F641" t="s">
        <v>327</v>
      </c>
      <c r="G641" t="s">
        <v>327</v>
      </c>
      <c r="H641" t="s">
        <v>327</v>
      </c>
      <c r="I641" t="s">
        <v>2921</v>
      </c>
    </row>
    <row r="642" spans="1:9">
      <c r="A642" s="5" t="s">
        <v>327</v>
      </c>
      <c r="B642" s="5" t="s">
        <v>4477</v>
      </c>
      <c r="C642" t="s">
        <v>4478</v>
      </c>
      <c r="D642" t="s">
        <v>327</v>
      </c>
      <c r="E642" t="s">
        <v>327</v>
      </c>
      <c r="F642" t="s">
        <v>327</v>
      </c>
      <c r="G642" t="s">
        <v>327</v>
      </c>
      <c r="H642" t="s">
        <v>327</v>
      </c>
      <c r="I642" t="s">
        <v>2931</v>
      </c>
    </row>
    <row r="643" spans="1:9">
      <c r="A643" s="5" t="s">
        <v>327</v>
      </c>
      <c r="B643" s="5" t="s">
        <v>4470</v>
      </c>
      <c r="C643" t="s">
        <v>4479</v>
      </c>
      <c r="D643" t="s">
        <v>327</v>
      </c>
      <c r="E643" t="s">
        <v>327</v>
      </c>
      <c r="F643" t="s">
        <v>327</v>
      </c>
      <c r="G643" t="s">
        <v>327</v>
      </c>
      <c r="H643" t="s">
        <v>327</v>
      </c>
      <c r="I643" t="s">
        <v>2990</v>
      </c>
    </row>
    <row r="644" spans="1:9">
      <c r="A644" s="5" t="s">
        <v>327</v>
      </c>
      <c r="B644" s="5" t="s">
        <v>4480</v>
      </c>
      <c r="C644" t="s">
        <v>4481</v>
      </c>
      <c r="D644" t="s">
        <v>327</v>
      </c>
      <c r="E644" t="s">
        <v>327</v>
      </c>
      <c r="F644" t="s">
        <v>327</v>
      </c>
      <c r="G644" t="s">
        <v>327</v>
      </c>
      <c r="H644" t="s">
        <v>327</v>
      </c>
      <c r="I644" t="s">
        <v>3888</v>
      </c>
    </row>
    <row r="645" spans="1:9">
      <c r="A645" s="5" t="s">
        <v>327</v>
      </c>
      <c r="B645" s="5" t="s">
        <v>4482</v>
      </c>
      <c r="C645" t="s">
        <v>4483</v>
      </c>
      <c r="D645" t="s">
        <v>327</v>
      </c>
      <c r="E645" t="s">
        <v>327</v>
      </c>
      <c r="F645" t="s">
        <v>327</v>
      </c>
      <c r="G645" t="s">
        <v>327</v>
      </c>
      <c r="H645" t="s">
        <v>327</v>
      </c>
      <c r="I645" t="s">
        <v>2921</v>
      </c>
    </row>
    <row r="646" spans="1:9">
      <c r="A646" s="5" t="s">
        <v>327</v>
      </c>
      <c r="B646" s="5" t="s">
        <v>4376</v>
      </c>
      <c r="C646" t="s">
        <v>4484</v>
      </c>
      <c r="D646" t="s">
        <v>327</v>
      </c>
      <c r="E646" t="s">
        <v>327</v>
      </c>
      <c r="F646" t="s">
        <v>327</v>
      </c>
      <c r="G646" t="s">
        <v>327</v>
      </c>
      <c r="H646" t="s">
        <v>327</v>
      </c>
      <c r="I646" t="s">
        <v>3888</v>
      </c>
    </row>
    <row r="647" spans="1:9">
      <c r="A647" s="5" t="s">
        <v>327</v>
      </c>
      <c r="B647" s="5" t="s">
        <v>4485</v>
      </c>
      <c r="C647" t="s">
        <v>4486</v>
      </c>
      <c r="D647" t="s">
        <v>327</v>
      </c>
      <c r="E647" t="s">
        <v>327</v>
      </c>
      <c r="F647" t="s">
        <v>327</v>
      </c>
      <c r="G647" t="s">
        <v>327</v>
      </c>
      <c r="H647" t="s">
        <v>327</v>
      </c>
      <c r="I647" t="s">
        <v>4382</v>
      </c>
    </row>
    <row r="648" spans="1:9">
      <c r="A648" s="5" t="s">
        <v>327</v>
      </c>
      <c r="B648" s="5" t="s">
        <v>4487</v>
      </c>
      <c r="C648" t="s">
        <v>4488</v>
      </c>
      <c r="D648" t="s">
        <v>327</v>
      </c>
      <c r="E648" t="s">
        <v>327</v>
      </c>
      <c r="F648" t="s">
        <v>327</v>
      </c>
      <c r="G648" t="s">
        <v>327</v>
      </c>
      <c r="H648" t="s">
        <v>327</v>
      </c>
      <c r="I648" t="s">
        <v>4474</v>
      </c>
    </row>
    <row r="649" spans="1:9">
      <c r="A649" s="5" t="s">
        <v>327</v>
      </c>
      <c r="B649" s="5" t="s">
        <v>4489</v>
      </c>
      <c r="C649" t="s">
        <v>4490</v>
      </c>
      <c r="D649" t="s">
        <v>327</v>
      </c>
      <c r="E649" t="s">
        <v>327</v>
      </c>
      <c r="F649" t="s">
        <v>327</v>
      </c>
      <c r="G649" t="s">
        <v>327</v>
      </c>
      <c r="H649" t="s">
        <v>327</v>
      </c>
      <c r="I649" t="s">
        <v>2931</v>
      </c>
    </row>
    <row r="650" spans="1:9">
      <c r="A650" s="5" t="s">
        <v>327</v>
      </c>
      <c r="B650" s="5" t="s">
        <v>4491</v>
      </c>
      <c r="C650" t="s">
        <v>4492</v>
      </c>
      <c r="D650" t="s">
        <v>327</v>
      </c>
      <c r="E650" t="s">
        <v>327</v>
      </c>
      <c r="F650" t="s">
        <v>327</v>
      </c>
      <c r="G650" t="s">
        <v>327</v>
      </c>
      <c r="H650" t="s">
        <v>327</v>
      </c>
      <c r="I650" t="s">
        <v>2990</v>
      </c>
    </row>
    <row r="651" spans="1:9">
      <c r="A651" s="5" t="s">
        <v>327</v>
      </c>
      <c r="B651" s="5" t="s">
        <v>4493</v>
      </c>
      <c r="C651" t="s">
        <v>4494</v>
      </c>
      <c r="D651" t="s">
        <v>327</v>
      </c>
      <c r="E651" t="s">
        <v>327</v>
      </c>
      <c r="F651" t="s">
        <v>327</v>
      </c>
      <c r="G651" t="s">
        <v>327</v>
      </c>
      <c r="H651" t="s">
        <v>327</v>
      </c>
      <c r="I651" t="s">
        <v>2931</v>
      </c>
    </row>
    <row r="652" spans="1:9">
      <c r="A652" s="5" t="s">
        <v>327</v>
      </c>
      <c r="B652" s="5" t="s">
        <v>4495</v>
      </c>
      <c r="C652" t="s">
        <v>4496</v>
      </c>
      <c r="D652" t="s">
        <v>327</v>
      </c>
      <c r="E652" t="s">
        <v>327</v>
      </c>
      <c r="F652" t="s">
        <v>327</v>
      </c>
      <c r="G652" t="s">
        <v>327</v>
      </c>
      <c r="H652" t="s">
        <v>327</v>
      </c>
      <c r="I652" t="s">
        <v>2931</v>
      </c>
    </row>
    <row r="653" spans="1:9">
      <c r="A653" s="5" t="s">
        <v>327</v>
      </c>
      <c r="B653" s="5" t="s">
        <v>4497</v>
      </c>
      <c r="C653" t="s">
        <v>4498</v>
      </c>
      <c r="D653" t="s">
        <v>327</v>
      </c>
      <c r="E653" t="s">
        <v>327</v>
      </c>
      <c r="F653" t="s">
        <v>327</v>
      </c>
      <c r="G653" t="s">
        <v>327</v>
      </c>
      <c r="H653" t="s">
        <v>327</v>
      </c>
      <c r="I653" t="s">
        <v>2990</v>
      </c>
    </row>
    <row r="654" spans="1:9">
      <c r="A654" s="5" t="s">
        <v>327</v>
      </c>
      <c r="B654" s="5" t="s">
        <v>4499</v>
      </c>
      <c r="C654" t="s">
        <v>4500</v>
      </c>
      <c r="D654" t="s">
        <v>327</v>
      </c>
      <c r="E654" t="s">
        <v>327</v>
      </c>
      <c r="F654" t="s">
        <v>327</v>
      </c>
      <c r="G654" t="s">
        <v>327</v>
      </c>
      <c r="H654" t="s">
        <v>327</v>
      </c>
      <c r="I654" t="s">
        <v>2931</v>
      </c>
    </row>
    <row r="655" spans="1:9">
      <c r="A655" s="5" t="s">
        <v>327</v>
      </c>
      <c r="B655" s="5" t="s">
        <v>4501</v>
      </c>
      <c r="C655" t="s">
        <v>4502</v>
      </c>
      <c r="D655" t="s">
        <v>327</v>
      </c>
      <c r="E655" t="s">
        <v>327</v>
      </c>
      <c r="F655" t="s">
        <v>327</v>
      </c>
      <c r="G655" t="s">
        <v>327</v>
      </c>
      <c r="H655" t="s">
        <v>327</v>
      </c>
      <c r="I655" t="s">
        <v>2931</v>
      </c>
    </row>
    <row r="656" spans="1:9">
      <c r="A656" s="5" t="s">
        <v>327</v>
      </c>
      <c r="B656" s="5" t="s">
        <v>4503</v>
      </c>
      <c r="C656" t="s">
        <v>4504</v>
      </c>
      <c r="D656" t="s">
        <v>327</v>
      </c>
      <c r="E656" t="s">
        <v>327</v>
      </c>
      <c r="F656" t="s">
        <v>327</v>
      </c>
      <c r="G656" t="s">
        <v>327</v>
      </c>
      <c r="H656" t="s">
        <v>327</v>
      </c>
      <c r="I656" t="s">
        <v>2990</v>
      </c>
    </row>
    <row r="657" spans="1:9">
      <c r="A657" s="5" t="s">
        <v>327</v>
      </c>
      <c r="B657" s="5" t="s">
        <v>4505</v>
      </c>
      <c r="C657" t="s">
        <v>4506</v>
      </c>
      <c r="D657" t="s">
        <v>327</v>
      </c>
      <c r="E657" t="s">
        <v>327</v>
      </c>
      <c r="F657" t="s">
        <v>327</v>
      </c>
      <c r="G657" t="s">
        <v>327</v>
      </c>
      <c r="H657" t="s">
        <v>327</v>
      </c>
      <c r="I657" t="s">
        <v>2931</v>
      </c>
    </row>
    <row r="658" spans="1:9">
      <c r="A658" s="5" t="s">
        <v>327</v>
      </c>
      <c r="B658" s="5" t="s">
        <v>4507</v>
      </c>
      <c r="C658" t="s">
        <v>4508</v>
      </c>
      <c r="D658" t="s">
        <v>327</v>
      </c>
      <c r="E658" t="s">
        <v>327</v>
      </c>
      <c r="F658" t="s">
        <v>327</v>
      </c>
      <c r="G658" t="s">
        <v>327</v>
      </c>
      <c r="H658" t="s">
        <v>327</v>
      </c>
      <c r="I658" t="s">
        <v>2921</v>
      </c>
    </row>
    <row r="659" spans="1:9">
      <c r="A659" s="5" t="s">
        <v>327</v>
      </c>
      <c r="B659" s="5" t="s">
        <v>4509</v>
      </c>
      <c r="C659" t="s">
        <v>4510</v>
      </c>
      <c r="D659" t="s">
        <v>327</v>
      </c>
      <c r="E659" t="s">
        <v>327</v>
      </c>
      <c r="F659" t="s">
        <v>327</v>
      </c>
      <c r="G659" t="s">
        <v>327</v>
      </c>
      <c r="H659" t="s">
        <v>327</v>
      </c>
      <c r="I659" t="s">
        <v>2931</v>
      </c>
    </row>
    <row r="660" spans="1:9">
      <c r="A660" s="5" t="s">
        <v>327</v>
      </c>
      <c r="B660" s="5" t="s">
        <v>4511</v>
      </c>
      <c r="C660" t="s">
        <v>4512</v>
      </c>
      <c r="D660" t="s">
        <v>327</v>
      </c>
      <c r="E660" t="s">
        <v>327</v>
      </c>
      <c r="F660" t="s">
        <v>327</v>
      </c>
      <c r="G660" t="s">
        <v>327</v>
      </c>
      <c r="H660" t="s">
        <v>327</v>
      </c>
      <c r="I660" t="s">
        <v>2931</v>
      </c>
    </row>
    <row r="661" spans="1:9">
      <c r="A661" s="5" t="s">
        <v>327</v>
      </c>
      <c r="B661" s="5" t="s">
        <v>4513</v>
      </c>
      <c r="C661" t="s">
        <v>4514</v>
      </c>
      <c r="D661" t="s">
        <v>327</v>
      </c>
      <c r="E661" t="s">
        <v>327</v>
      </c>
      <c r="F661" t="s">
        <v>327</v>
      </c>
      <c r="G661" t="s">
        <v>327</v>
      </c>
      <c r="H661" t="s">
        <v>327</v>
      </c>
      <c r="I661" t="s">
        <v>2990</v>
      </c>
    </row>
    <row r="662" spans="1:9">
      <c r="A662" s="5" t="s">
        <v>327</v>
      </c>
      <c r="B662" s="5" t="s">
        <v>4515</v>
      </c>
      <c r="C662" t="s">
        <v>4516</v>
      </c>
      <c r="D662" t="s">
        <v>327</v>
      </c>
      <c r="E662" t="s">
        <v>327</v>
      </c>
      <c r="F662" t="s">
        <v>327</v>
      </c>
      <c r="G662" t="s">
        <v>327</v>
      </c>
      <c r="H662" t="s">
        <v>327</v>
      </c>
      <c r="I662" t="s">
        <v>4238</v>
      </c>
    </row>
    <row r="663" spans="1:9">
      <c r="A663" s="5" t="s">
        <v>327</v>
      </c>
      <c r="B663" s="5" t="s">
        <v>4411</v>
      </c>
      <c r="C663" t="s">
        <v>4517</v>
      </c>
      <c r="D663" t="s">
        <v>327</v>
      </c>
      <c r="E663" t="s">
        <v>327</v>
      </c>
      <c r="F663" t="s">
        <v>327</v>
      </c>
      <c r="G663" t="s">
        <v>327</v>
      </c>
      <c r="H663" t="s">
        <v>327</v>
      </c>
      <c r="I663" t="s">
        <v>4306</v>
      </c>
    </row>
    <row r="664" spans="1:9">
      <c r="A664" s="5" t="s">
        <v>327</v>
      </c>
      <c r="B664" s="5" t="s">
        <v>4518</v>
      </c>
      <c r="C664" t="s">
        <v>4519</v>
      </c>
      <c r="D664" t="s">
        <v>327</v>
      </c>
      <c r="E664" t="s">
        <v>327</v>
      </c>
      <c r="F664" t="s">
        <v>327</v>
      </c>
      <c r="G664" t="s">
        <v>327</v>
      </c>
      <c r="H664" t="s">
        <v>327</v>
      </c>
      <c r="I664" t="s">
        <v>4238</v>
      </c>
    </row>
    <row r="665" spans="1:9">
      <c r="A665" s="5" t="s">
        <v>327</v>
      </c>
      <c r="B665" s="5" t="s">
        <v>4520</v>
      </c>
      <c r="C665" t="s">
        <v>4521</v>
      </c>
      <c r="D665" t="s">
        <v>327</v>
      </c>
      <c r="E665" t="s">
        <v>327</v>
      </c>
      <c r="F665" t="s">
        <v>327</v>
      </c>
      <c r="G665" t="s">
        <v>327</v>
      </c>
      <c r="H665" t="s">
        <v>327</v>
      </c>
      <c r="I665" t="s">
        <v>2931</v>
      </c>
    </row>
    <row r="666" spans="1:9">
      <c r="A666" s="5" t="s">
        <v>327</v>
      </c>
      <c r="B666" s="5" t="s">
        <v>4522</v>
      </c>
      <c r="C666" t="s">
        <v>4523</v>
      </c>
      <c r="D666" t="s">
        <v>327</v>
      </c>
      <c r="E666" t="s">
        <v>327</v>
      </c>
      <c r="F666" t="s">
        <v>327</v>
      </c>
      <c r="G666" t="s">
        <v>327</v>
      </c>
      <c r="H666" t="s">
        <v>327</v>
      </c>
      <c r="I666" t="s">
        <v>2931</v>
      </c>
    </row>
    <row r="667" spans="1:9">
      <c r="A667" s="5" t="s">
        <v>327</v>
      </c>
      <c r="B667" s="5" t="s">
        <v>4524</v>
      </c>
      <c r="C667" t="s">
        <v>4525</v>
      </c>
      <c r="D667" t="s">
        <v>327</v>
      </c>
      <c r="E667" t="s">
        <v>327</v>
      </c>
      <c r="F667" t="s">
        <v>327</v>
      </c>
      <c r="G667" t="s">
        <v>327</v>
      </c>
      <c r="H667" t="s">
        <v>327</v>
      </c>
      <c r="I667" t="s">
        <v>2990</v>
      </c>
    </row>
    <row r="668" spans="1:9">
      <c r="A668" s="5" t="s">
        <v>327</v>
      </c>
      <c r="B668" s="5" t="s">
        <v>4526</v>
      </c>
      <c r="C668" t="s">
        <v>4527</v>
      </c>
      <c r="D668" t="s">
        <v>327</v>
      </c>
      <c r="E668" t="s">
        <v>327</v>
      </c>
      <c r="F668" t="s">
        <v>327</v>
      </c>
      <c r="G668" t="s">
        <v>327</v>
      </c>
      <c r="H668" t="s">
        <v>327</v>
      </c>
      <c r="I668" t="s">
        <v>2921</v>
      </c>
    </row>
    <row r="669" spans="1:9">
      <c r="A669" s="5" t="s">
        <v>327</v>
      </c>
      <c r="B669" s="5" t="s">
        <v>4528</v>
      </c>
      <c r="C669" t="s">
        <v>4529</v>
      </c>
      <c r="D669" t="s">
        <v>327</v>
      </c>
      <c r="E669" t="s">
        <v>327</v>
      </c>
      <c r="F669" t="s">
        <v>327</v>
      </c>
      <c r="G669" t="s">
        <v>327</v>
      </c>
      <c r="H669" t="s">
        <v>327</v>
      </c>
      <c r="I669" t="s">
        <v>2931</v>
      </c>
    </row>
    <row r="670" spans="1:9">
      <c r="A670" s="5" t="s">
        <v>327</v>
      </c>
      <c r="B670" s="5" t="s">
        <v>4530</v>
      </c>
      <c r="C670" t="s">
        <v>4531</v>
      </c>
      <c r="D670" t="s">
        <v>327</v>
      </c>
      <c r="E670" t="s">
        <v>327</v>
      </c>
      <c r="F670" t="s">
        <v>327</v>
      </c>
      <c r="G670" t="s">
        <v>327</v>
      </c>
      <c r="H670" t="s">
        <v>327</v>
      </c>
      <c r="I670" t="s">
        <v>2931</v>
      </c>
    </row>
    <row r="671" spans="1:9">
      <c r="A671" s="5" t="s">
        <v>327</v>
      </c>
      <c r="B671" s="5" t="s">
        <v>4532</v>
      </c>
      <c r="C671" t="s">
        <v>4533</v>
      </c>
      <c r="D671" t="s">
        <v>327</v>
      </c>
      <c r="E671" t="s">
        <v>327</v>
      </c>
      <c r="F671" t="s">
        <v>327</v>
      </c>
      <c r="G671" t="s">
        <v>327</v>
      </c>
      <c r="H671" t="s">
        <v>327</v>
      </c>
      <c r="I671" t="s">
        <v>2921</v>
      </c>
    </row>
    <row r="672" spans="1:9">
      <c r="A672" s="5" t="s">
        <v>327</v>
      </c>
      <c r="B672" s="5" t="s">
        <v>4534</v>
      </c>
      <c r="C672" t="s">
        <v>4535</v>
      </c>
      <c r="D672" t="s">
        <v>327</v>
      </c>
      <c r="E672" t="s">
        <v>327</v>
      </c>
      <c r="F672" t="s">
        <v>327</v>
      </c>
      <c r="G672" t="s">
        <v>327</v>
      </c>
      <c r="H672" t="s">
        <v>327</v>
      </c>
      <c r="I672" t="s">
        <v>2931</v>
      </c>
    </row>
    <row r="673" spans="1:9">
      <c r="A673" s="5" t="s">
        <v>327</v>
      </c>
      <c r="B673" s="5" t="s">
        <v>4536</v>
      </c>
      <c r="C673" t="s">
        <v>4537</v>
      </c>
      <c r="D673" t="s">
        <v>327</v>
      </c>
      <c r="E673" t="s">
        <v>327</v>
      </c>
      <c r="F673" t="s">
        <v>327</v>
      </c>
      <c r="G673" t="s">
        <v>327</v>
      </c>
      <c r="H673" t="s">
        <v>327</v>
      </c>
      <c r="I673" t="s">
        <v>4538</v>
      </c>
    </row>
    <row r="674" spans="1:9">
      <c r="A674" s="5" t="s">
        <v>327</v>
      </c>
      <c r="B674" s="5" t="s">
        <v>4539</v>
      </c>
      <c r="C674" t="s">
        <v>4540</v>
      </c>
      <c r="D674" t="s">
        <v>327</v>
      </c>
      <c r="E674" t="s">
        <v>327</v>
      </c>
      <c r="F674" t="s">
        <v>327</v>
      </c>
      <c r="G674" t="s">
        <v>327</v>
      </c>
      <c r="H674" t="s">
        <v>327</v>
      </c>
      <c r="I674" t="s">
        <v>2931</v>
      </c>
    </row>
    <row r="675" spans="1:9">
      <c r="A675" s="5" t="s">
        <v>327</v>
      </c>
      <c r="B675" s="5" t="s">
        <v>4541</v>
      </c>
      <c r="C675" t="s">
        <v>4542</v>
      </c>
      <c r="D675" t="s">
        <v>327</v>
      </c>
      <c r="E675" t="s">
        <v>327</v>
      </c>
      <c r="F675" t="s">
        <v>327</v>
      </c>
      <c r="G675" t="s">
        <v>327</v>
      </c>
      <c r="H675" t="s">
        <v>327</v>
      </c>
      <c r="I675" t="s">
        <v>4543</v>
      </c>
    </row>
    <row r="676" spans="1:9">
      <c r="A676" s="5" t="s">
        <v>327</v>
      </c>
      <c r="B676" s="5" t="s">
        <v>4544</v>
      </c>
      <c r="C676" t="s">
        <v>4545</v>
      </c>
      <c r="D676" t="s">
        <v>327</v>
      </c>
      <c r="E676" t="s">
        <v>327</v>
      </c>
      <c r="F676" t="s">
        <v>327</v>
      </c>
      <c r="G676" t="s">
        <v>327</v>
      </c>
      <c r="H676" t="s">
        <v>327</v>
      </c>
      <c r="I676" t="s">
        <v>4546</v>
      </c>
    </row>
    <row r="677" spans="1:9">
      <c r="A677" s="5" t="s">
        <v>327</v>
      </c>
      <c r="B677" s="5" t="s">
        <v>4547</v>
      </c>
      <c r="C677" t="s">
        <v>4548</v>
      </c>
      <c r="D677" t="s">
        <v>327</v>
      </c>
      <c r="E677" t="s">
        <v>327</v>
      </c>
      <c r="F677" t="s">
        <v>327</v>
      </c>
      <c r="G677" t="s">
        <v>327</v>
      </c>
      <c r="H677" t="s">
        <v>327</v>
      </c>
      <c r="I677" t="s">
        <v>2931</v>
      </c>
    </row>
    <row r="678" spans="1:9">
      <c r="A678" s="5" t="s">
        <v>327</v>
      </c>
      <c r="B678" s="5" t="s">
        <v>4549</v>
      </c>
      <c r="C678" t="s">
        <v>4550</v>
      </c>
      <c r="D678" t="s">
        <v>327</v>
      </c>
      <c r="E678" t="s">
        <v>327</v>
      </c>
      <c r="F678" t="s">
        <v>327</v>
      </c>
      <c r="G678" t="s">
        <v>327</v>
      </c>
      <c r="H678" t="s">
        <v>327</v>
      </c>
      <c r="I678" t="s">
        <v>2931</v>
      </c>
    </row>
    <row r="679" spans="1:9">
      <c r="A679" s="5" t="s">
        <v>327</v>
      </c>
      <c r="B679" s="5" t="s">
        <v>4551</v>
      </c>
      <c r="C679" t="s">
        <v>4552</v>
      </c>
      <c r="D679" t="s">
        <v>327</v>
      </c>
      <c r="E679" t="s">
        <v>327</v>
      </c>
      <c r="F679" t="s">
        <v>327</v>
      </c>
      <c r="G679" t="s">
        <v>327</v>
      </c>
      <c r="H679" t="s">
        <v>327</v>
      </c>
      <c r="I679" t="s">
        <v>2931</v>
      </c>
    </row>
    <row r="680" spans="1:9">
      <c r="A680" s="5" t="s">
        <v>327</v>
      </c>
      <c r="B680" s="5" t="s">
        <v>4553</v>
      </c>
      <c r="C680" t="s">
        <v>4554</v>
      </c>
      <c r="D680" t="s">
        <v>327</v>
      </c>
      <c r="E680" t="s">
        <v>327</v>
      </c>
      <c r="F680" t="s">
        <v>327</v>
      </c>
      <c r="G680" t="s">
        <v>327</v>
      </c>
      <c r="H680" t="s">
        <v>327</v>
      </c>
      <c r="I680" t="s">
        <v>2931</v>
      </c>
    </row>
    <row r="681" spans="1:9">
      <c r="A681" s="5" t="s">
        <v>327</v>
      </c>
      <c r="B681" s="5" t="s">
        <v>4555</v>
      </c>
      <c r="C681" t="s">
        <v>4556</v>
      </c>
      <c r="D681" t="s">
        <v>327</v>
      </c>
      <c r="E681" t="s">
        <v>327</v>
      </c>
      <c r="F681" t="s">
        <v>327</v>
      </c>
      <c r="G681" t="s">
        <v>327</v>
      </c>
      <c r="H681" t="s">
        <v>327</v>
      </c>
      <c r="I681" t="s">
        <v>4557</v>
      </c>
    </row>
    <row r="682" spans="1:9">
      <c r="A682" s="5" t="s">
        <v>327</v>
      </c>
      <c r="B682" s="5" t="s">
        <v>4558</v>
      </c>
      <c r="C682" t="s">
        <v>4559</v>
      </c>
      <c r="D682" t="s">
        <v>327</v>
      </c>
      <c r="E682" t="s">
        <v>327</v>
      </c>
      <c r="F682" t="s">
        <v>327</v>
      </c>
      <c r="G682" t="s">
        <v>327</v>
      </c>
      <c r="H682" t="s">
        <v>327</v>
      </c>
      <c r="I682" t="s">
        <v>2931</v>
      </c>
    </row>
    <row r="683" spans="1:9">
      <c r="A683" s="5" t="s">
        <v>327</v>
      </c>
      <c r="B683" s="5" t="s">
        <v>4560</v>
      </c>
      <c r="C683" t="s">
        <v>4561</v>
      </c>
      <c r="D683" t="s">
        <v>327</v>
      </c>
      <c r="E683" t="s">
        <v>327</v>
      </c>
      <c r="F683" t="s">
        <v>327</v>
      </c>
      <c r="G683" t="s">
        <v>327</v>
      </c>
      <c r="H683" t="s">
        <v>327</v>
      </c>
      <c r="I683" t="s">
        <v>2921</v>
      </c>
    </row>
    <row r="684" spans="1:9">
      <c r="A684" s="5" t="s">
        <v>327</v>
      </c>
      <c r="B684" s="5" t="s">
        <v>4562</v>
      </c>
      <c r="C684" t="s">
        <v>4563</v>
      </c>
      <c r="D684" t="s">
        <v>327</v>
      </c>
      <c r="E684" t="s">
        <v>327</v>
      </c>
      <c r="F684" t="s">
        <v>327</v>
      </c>
      <c r="G684" t="s">
        <v>327</v>
      </c>
      <c r="H684" t="s">
        <v>327</v>
      </c>
      <c r="I684" t="s">
        <v>2990</v>
      </c>
    </row>
    <row r="685" spans="1:9">
      <c r="A685" s="5" t="s">
        <v>327</v>
      </c>
      <c r="B685" s="5" t="s">
        <v>4564</v>
      </c>
      <c r="C685" t="s">
        <v>4565</v>
      </c>
      <c r="D685" t="s">
        <v>327</v>
      </c>
      <c r="E685" t="s">
        <v>327</v>
      </c>
      <c r="F685" t="s">
        <v>327</v>
      </c>
      <c r="G685" t="s">
        <v>327</v>
      </c>
      <c r="H685" t="s">
        <v>327</v>
      </c>
      <c r="I685" t="s">
        <v>2931</v>
      </c>
    </row>
    <row r="686" spans="1:9">
      <c r="A686" s="5" t="s">
        <v>327</v>
      </c>
      <c r="B686" s="5" t="s">
        <v>4566</v>
      </c>
      <c r="C686" t="s">
        <v>4567</v>
      </c>
      <c r="D686" t="s">
        <v>327</v>
      </c>
      <c r="E686" t="s">
        <v>327</v>
      </c>
      <c r="F686" t="s">
        <v>327</v>
      </c>
      <c r="G686" t="s">
        <v>327</v>
      </c>
      <c r="H686" t="s">
        <v>327</v>
      </c>
      <c r="I686" t="s">
        <v>2921</v>
      </c>
    </row>
    <row r="687" spans="1:9">
      <c r="A687" s="5" t="s">
        <v>327</v>
      </c>
      <c r="B687" s="5" t="s">
        <v>4568</v>
      </c>
      <c r="C687" t="s">
        <v>4569</v>
      </c>
      <c r="D687" t="s">
        <v>327</v>
      </c>
      <c r="E687" t="s">
        <v>327</v>
      </c>
      <c r="F687" t="s">
        <v>327</v>
      </c>
      <c r="G687" t="s">
        <v>327</v>
      </c>
      <c r="H687" t="s">
        <v>327</v>
      </c>
      <c r="I687" t="s">
        <v>2990</v>
      </c>
    </row>
    <row r="688" spans="1:9">
      <c r="A688" s="5" t="s">
        <v>327</v>
      </c>
      <c r="B688" s="5" t="s">
        <v>4570</v>
      </c>
      <c r="C688" t="s">
        <v>4571</v>
      </c>
      <c r="D688" t="s">
        <v>327</v>
      </c>
      <c r="E688" t="s">
        <v>327</v>
      </c>
      <c r="F688" t="s">
        <v>327</v>
      </c>
      <c r="G688" t="s">
        <v>327</v>
      </c>
      <c r="H688" t="s">
        <v>327</v>
      </c>
      <c r="I688" t="s">
        <v>2921</v>
      </c>
    </row>
    <row r="689" spans="1:9">
      <c r="A689" s="5" t="s">
        <v>327</v>
      </c>
      <c r="B689" s="5" t="s">
        <v>4572</v>
      </c>
      <c r="C689" t="s">
        <v>4573</v>
      </c>
      <c r="D689" t="s">
        <v>327</v>
      </c>
      <c r="E689" t="s">
        <v>327</v>
      </c>
      <c r="F689" t="s">
        <v>327</v>
      </c>
      <c r="G689" t="s">
        <v>327</v>
      </c>
      <c r="H689" t="s">
        <v>327</v>
      </c>
      <c r="I689" t="s">
        <v>2990</v>
      </c>
    </row>
    <row r="690" spans="1:9">
      <c r="A690" s="5" t="s">
        <v>327</v>
      </c>
      <c r="B690" s="5" t="s">
        <v>4574</v>
      </c>
      <c r="C690" t="s">
        <v>4575</v>
      </c>
      <c r="D690" t="s">
        <v>327</v>
      </c>
      <c r="E690" t="s">
        <v>327</v>
      </c>
      <c r="F690" t="s">
        <v>327</v>
      </c>
      <c r="G690" t="s">
        <v>327</v>
      </c>
      <c r="H690" t="s">
        <v>327</v>
      </c>
      <c r="I690" t="s">
        <v>2990</v>
      </c>
    </row>
    <row r="691" spans="1:9">
      <c r="A691" s="5" t="s">
        <v>327</v>
      </c>
      <c r="B691" s="5" t="s">
        <v>4576</v>
      </c>
      <c r="C691" t="s">
        <v>4577</v>
      </c>
      <c r="D691" t="s">
        <v>327</v>
      </c>
      <c r="E691" t="s">
        <v>327</v>
      </c>
      <c r="F691" t="s">
        <v>327</v>
      </c>
      <c r="G691" t="s">
        <v>327</v>
      </c>
      <c r="H691" t="s">
        <v>327</v>
      </c>
      <c r="I691" t="s">
        <v>2931</v>
      </c>
    </row>
    <row r="692" spans="1:9">
      <c r="A692" s="5" t="s">
        <v>327</v>
      </c>
      <c r="B692" s="5" t="s">
        <v>4578</v>
      </c>
      <c r="C692" t="s">
        <v>4579</v>
      </c>
      <c r="D692" t="s">
        <v>327</v>
      </c>
      <c r="E692" t="s">
        <v>327</v>
      </c>
      <c r="F692" t="s">
        <v>327</v>
      </c>
      <c r="G692" t="s">
        <v>327</v>
      </c>
      <c r="H692" t="s">
        <v>327</v>
      </c>
      <c r="I692" t="s">
        <v>2990</v>
      </c>
    </row>
    <row r="693" spans="1:9">
      <c r="A693" s="5" t="s">
        <v>327</v>
      </c>
      <c r="B693" s="5" t="s">
        <v>4580</v>
      </c>
      <c r="C693" t="s">
        <v>4581</v>
      </c>
      <c r="D693" t="s">
        <v>327</v>
      </c>
      <c r="E693" t="s">
        <v>327</v>
      </c>
      <c r="F693" t="s">
        <v>327</v>
      </c>
      <c r="G693" t="s">
        <v>327</v>
      </c>
      <c r="H693" t="s">
        <v>327</v>
      </c>
      <c r="I693" t="s">
        <v>4461</v>
      </c>
    </row>
    <row r="694" spans="1:9">
      <c r="A694" s="5" t="s">
        <v>327</v>
      </c>
      <c r="B694" s="5" t="s">
        <v>4582</v>
      </c>
      <c r="C694" t="s">
        <v>4583</v>
      </c>
      <c r="D694" t="s">
        <v>327</v>
      </c>
      <c r="E694" t="s">
        <v>327</v>
      </c>
      <c r="F694" t="s">
        <v>327</v>
      </c>
      <c r="G694" t="s">
        <v>327</v>
      </c>
      <c r="H694" t="s">
        <v>327</v>
      </c>
      <c r="I694" t="s">
        <v>2990</v>
      </c>
    </row>
    <row r="695" spans="1:9">
      <c r="A695" s="5" t="s">
        <v>327</v>
      </c>
      <c r="B695" s="5" t="s">
        <v>4584</v>
      </c>
      <c r="C695" t="s">
        <v>4585</v>
      </c>
      <c r="D695" t="s">
        <v>327</v>
      </c>
      <c r="E695" t="s">
        <v>327</v>
      </c>
      <c r="F695" t="s">
        <v>327</v>
      </c>
      <c r="G695" t="s">
        <v>327</v>
      </c>
      <c r="H695" t="s">
        <v>327</v>
      </c>
      <c r="I695" t="s">
        <v>2990</v>
      </c>
    </row>
    <row r="696" spans="1:9">
      <c r="A696" s="5" t="s">
        <v>327</v>
      </c>
      <c r="B696" s="5" t="s">
        <v>4586</v>
      </c>
      <c r="C696" t="s">
        <v>4587</v>
      </c>
      <c r="D696" t="s">
        <v>327</v>
      </c>
      <c r="E696" t="s">
        <v>327</v>
      </c>
      <c r="F696" t="s">
        <v>327</v>
      </c>
      <c r="G696" t="s">
        <v>327</v>
      </c>
      <c r="H696" t="s">
        <v>327</v>
      </c>
      <c r="I696" t="s">
        <v>2990</v>
      </c>
    </row>
    <row r="697" spans="1:9">
      <c r="A697" s="5" t="s">
        <v>327</v>
      </c>
      <c r="B697" s="5" t="s">
        <v>4491</v>
      </c>
      <c r="C697" t="s">
        <v>4588</v>
      </c>
      <c r="D697" t="s">
        <v>327</v>
      </c>
      <c r="E697" t="s">
        <v>327</v>
      </c>
      <c r="F697" t="s">
        <v>327</v>
      </c>
      <c r="G697" t="s">
        <v>327</v>
      </c>
      <c r="H697" t="s">
        <v>327</v>
      </c>
      <c r="I697" t="s">
        <v>2990</v>
      </c>
    </row>
    <row r="698" spans="1:9">
      <c r="A698" s="5" t="s">
        <v>327</v>
      </c>
      <c r="B698" s="5" t="s">
        <v>4589</v>
      </c>
      <c r="C698" t="s">
        <v>4590</v>
      </c>
      <c r="D698" t="s">
        <v>327</v>
      </c>
      <c r="E698" t="s">
        <v>327</v>
      </c>
      <c r="F698" t="s">
        <v>327</v>
      </c>
      <c r="G698" t="s">
        <v>327</v>
      </c>
      <c r="H698" t="s">
        <v>327</v>
      </c>
      <c r="I698" t="s">
        <v>2931</v>
      </c>
    </row>
    <row r="699" spans="1:9">
      <c r="A699" s="5" t="s">
        <v>327</v>
      </c>
      <c r="B699" s="5" t="s">
        <v>4591</v>
      </c>
      <c r="C699" t="s">
        <v>4592</v>
      </c>
      <c r="D699" t="s">
        <v>327</v>
      </c>
      <c r="E699" t="s">
        <v>327</v>
      </c>
      <c r="F699" t="s">
        <v>327</v>
      </c>
      <c r="G699" t="s">
        <v>327</v>
      </c>
      <c r="H699" t="s">
        <v>327</v>
      </c>
      <c r="I699" t="s">
        <v>2990</v>
      </c>
    </row>
    <row r="700" spans="1:9">
      <c r="A700" s="5" t="s">
        <v>327</v>
      </c>
      <c r="B700" s="5" t="s">
        <v>4593</v>
      </c>
      <c r="C700" t="s">
        <v>4594</v>
      </c>
      <c r="D700" t="s">
        <v>327</v>
      </c>
      <c r="E700" t="s">
        <v>327</v>
      </c>
      <c r="F700" t="s">
        <v>327</v>
      </c>
      <c r="G700" t="s">
        <v>327</v>
      </c>
      <c r="H700" t="s">
        <v>327</v>
      </c>
      <c r="I700" t="s">
        <v>2931</v>
      </c>
    </row>
    <row r="701" spans="1:9">
      <c r="A701" s="5" t="s">
        <v>327</v>
      </c>
      <c r="B701" s="5" t="s">
        <v>4595</v>
      </c>
      <c r="C701" t="s">
        <v>4596</v>
      </c>
      <c r="D701" t="s">
        <v>327</v>
      </c>
      <c r="E701" t="s">
        <v>327</v>
      </c>
      <c r="F701" t="s">
        <v>327</v>
      </c>
      <c r="G701" t="s">
        <v>327</v>
      </c>
      <c r="H701" t="s">
        <v>327</v>
      </c>
      <c r="I701" t="s">
        <v>2990</v>
      </c>
    </row>
    <row r="702" spans="1:9">
      <c r="A702" s="5" t="s">
        <v>327</v>
      </c>
      <c r="B702" s="5" t="s">
        <v>4597</v>
      </c>
      <c r="C702" t="s">
        <v>4598</v>
      </c>
      <c r="D702" t="s">
        <v>327</v>
      </c>
      <c r="E702" t="s">
        <v>327</v>
      </c>
      <c r="F702" t="s">
        <v>327</v>
      </c>
      <c r="G702" t="s">
        <v>327</v>
      </c>
      <c r="H702" t="s">
        <v>327</v>
      </c>
      <c r="I702" t="s">
        <v>2990</v>
      </c>
    </row>
    <row r="703" spans="1:9">
      <c r="A703" s="5" t="s">
        <v>327</v>
      </c>
      <c r="B703" s="5" t="s">
        <v>4599</v>
      </c>
      <c r="C703" t="s">
        <v>4600</v>
      </c>
      <c r="D703" t="s">
        <v>327</v>
      </c>
      <c r="E703" t="s">
        <v>327</v>
      </c>
      <c r="F703" t="s">
        <v>327</v>
      </c>
      <c r="G703" t="s">
        <v>327</v>
      </c>
      <c r="H703" t="s">
        <v>327</v>
      </c>
      <c r="I703" t="s">
        <v>2931</v>
      </c>
    </row>
    <row r="704" spans="1:9">
      <c r="A704" s="5" t="s">
        <v>327</v>
      </c>
      <c r="B704" s="5" t="s">
        <v>4601</v>
      </c>
      <c r="C704" t="s">
        <v>4602</v>
      </c>
      <c r="D704" t="s">
        <v>327</v>
      </c>
      <c r="E704" t="s">
        <v>327</v>
      </c>
      <c r="F704" t="s">
        <v>327</v>
      </c>
      <c r="G704" t="s">
        <v>327</v>
      </c>
      <c r="H704" t="s">
        <v>327</v>
      </c>
      <c r="I704" t="s">
        <v>2931</v>
      </c>
    </row>
    <row r="705" spans="1:9">
      <c r="A705" s="5" t="s">
        <v>327</v>
      </c>
      <c r="B705" s="5" t="s">
        <v>4603</v>
      </c>
      <c r="C705" t="s">
        <v>4604</v>
      </c>
      <c r="D705" t="s">
        <v>327</v>
      </c>
      <c r="E705" t="s">
        <v>327</v>
      </c>
      <c r="F705" t="s">
        <v>327</v>
      </c>
      <c r="G705" t="s">
        <v>327</v>
      </c>
      <c r="H705" t="s">
        <v>327</v>
      </c>
      <c r="I705" t="s">
        <v>2931</v>
      </c>
    </row>
    <row r="706" spans="1:9">
      <c r="A706" s="5" t="s">
        <v>327</v>
      </c>
      <c r="B706" s="5" t="s">
        <v>4605</v>
      </c>
      <c r="C706" t="s">
        <v>4606</v>
      </c>
      <c r="D706" t="s">
        <v>327</v>
      </c>
      <c r="E706" t="s">
        <v>327</v>
      </c>
      <c r="F706" t="s">
        <v>327</v>
      </c>
      <c r="G706" t="s">
        <v>327</v>
      </c>
      <c r="H706" t="s">
        <v>327</v>
      </c>
      <c r="I706" t="s">
        <v>2931</v>
      </c>
    </row>
    <row r="707" spans="1:9">
      <c r="A707" s="5" t="s">
        <v>327</v>
      </c>
      <c r="B707" s="5" t="s">
        <v>4607</v>
      </c>
      <c r="C707" t="s">
        <v>4608</v>
      </c>
      <c r="D707" t="s">
        <v>327</v>
      </c>
      <c r="E707" t="s">
        <v>327</v>
      </c>
      <c r="F707" t="s">
        <v>327</v>
      </c>
      <c r="G707" t="s">
        <v>327</v>
      </c>
      <c r="H707" t="s">
        <v>327</v>
      </c>
      <c r="I707" t="s">
        <v>2931</v>
      </c>
    </row>
    <row r="708" spans="1:9">
      <c r="A708" s="5" t="s">
        <v>327</v>
      </c>
      <c r="B708" s="5" t="s">
        <v>4609</v>
      </c>
      <c r="C708" t="s">
        <v>4610</v>
      </c>
      <c r="D708" t="s">
        <v>327</v>
      </c>
      <c r="E708" t="s">
        <v>327</v>
      </c>
      <c r="F708" t="s">
        <v>327</v>
      </c>
      <c r="G708" t="s">
        <v>327</v>
      </c>
      <c r="H708" t="s">
        <v>327</v>
      </c>
      <c r="I708" t="s">
        <v>2931</v>
      </c>
    </row>
    <row r="709" spans="1:9">
      <c r="A709" s="5" t="s">
        <v>327</v>
      </c>
      <c r="B709" s="5" t="s">
        <v>4611</v>
      </c>
      <c r="C709" t="s">
        <v>4612</v>
      </c>
      <c r="D709" t="s">
        <v>327</v>
      </c>
      <c r="E709" t="s">
        <v>327</v>
      </c>
      <c r="F709" t="s">
        <v>327</v>
      </c>
      <c r="G709" t="s">
        <v>327</v>
      </c>
      <c r="H709" t="s">
        <v>327</v>
      </c>
      <c r="I709" t="s">
        <v>3958</v>
      </c>
    </row>
    <row r="710" spans="1:9">
      <c r="A710" s="5" t="s">
        <v>327</v>
      </c>
      <c r="B710" s="5" t="s">
        <v>4613</v>
      </c>
      <c r="C710" t="s">
        <v>4614</v>
      </c>
      <c r="D710" t="s">
        <v>327</v>
      </c>
      <c r="E710" t="s">
        <v>327</v>
      </c>
      <c r="F710" t="s">
        <v>327</v>
      </c>
      <c r="G710" t="s">
        <v>327</v>
      </c>
      <c r="H710" t="s">
        <v>327</v>
      </c>
      <c r="I710" t="s">
        <v>2990</v>
      </c>
    </row>
    <row r="711" spans="1:9">
      <c r="A711" s="5" t="s">
        <v>327</v>
      </c>
      <c r="B711" s="5" t="s">
        <v>4615</v>
      </c>
      <c r="C711" t="s">
        <v>4616</v>
      </c>
      <c r="D711" t="s">
        <v>327</v>
      </c>
      <c r="E711" t="s">
        <v>327</v>
      </c>
      <c r="F711" t="s">
        <v>327</v>
      </c>
      <c r="G711" t="s">
        <v>327</v>
      </c>
      <c r="H711" t="s">
        <v>327</v>
      </c>
      <c r="I711" t="s">
        <v>2931</v>
      </c>
    </row>
    <row r="712" spans="1:9">
      <c r="A712" s="5" t="s">
        <v>327</v>
      </c>
      <c r="B712" s="5" t="s">
        <v>4617</v>
      </c>
      <c r="C712" t="s">
        <v>4618</v>
      </c>
      <c r="D712" t="s">
        <v>327</v>
      </c>
      <c r="E712" t="s">
        <v>327</v>
      </c>
      <c r="F712" t="s">
        <v>327</v>
      </c>
      <c r="G712" t="s">
        <v>327</v>
      </c>
      <c r="H712" t="s">
        <v>327</v>
      </c>
      <c r="I712" t="s">
        <v>2990</v>
      </c>
    </row>
    <row r="713" spans="1:9">
      <c r="A713" s="5" t="s">
        <v>327</v>
      </c>
      <c r="B713" s="5" t="s">
        <v>4619</v>
      </c>
      <c r="C713" t="s">
        <v>4620</v>
      </c>
      <c r="D713" t="s">
        <v>327</v>
      </c>
      <c r="E713" t="s">
        <v>327</v>
      </c>
      <c r="F713" t="s">
        <v>327</v>
      </c>
      <c r="G713" t="s">
        <v>327</v>
      </c>
      <c r="H713" t="s">
        <v>327</v>
      </c>
      <c r="I713" t="s">
        <v>2990</v>
      </c>
    </row>
    <row r="714" spans="1:9">
      <c r="A714" s="5" t="s">
        <v>327</v>
      </c>
      <c r="B714" s="5" t="s">
        <v>4621</v>
      </c>
      <c r="C714" t="s">
        <v>4622</v>
      </c>
      <c r="D714" t="s">
        <v>327</v>
      </c>
      <c r="E714" t="s">
        <v>327</v>
      </c>
      <c r="F714" t="s">
        <v>327</v>
      </c>
      <c r="G714" t="s">
        <v>327</v>
      </c>
      <c r="H714" t="s">
        <v>327</v>
      </c>
      <c r="I714" t="s">
        <v>2990</v>
      </c>
    </row>
    <row r="715" spans="1:9">
      <c r="A715" s="5" t="s">
        <v>327</v>
      </c>
      <c r="B715" s="5" t="s">
        <v>4623</v>
      </c>
      <c r="C715" t="s">
        <v>4624</v>
      </c>
      <c r="D715" t="s">
        <v>327</v>
      </c>
      <c r="E715" t="s">
        <v>327</v>
      </c>
      <c r="F715" t="s">
        <v>327</v>
      </c>
      <c r="G715" t="s">
        <v>327</v>
      </c>
      <c r="H715" t="s">
        <v>327</v>
      </c>
      <c r="I715" t="s">
        <v>4546</v>
      </c>
    </row>
    <row r="716" spans="1:9">
      <c r="A716" s="5" t="s">
        <v>327</v>
      </c>
      <c r="B716" s="5" t="s">
        <v>4625</v>
      </c>
      <c r="C716" t="s">
        <v>4626</v>
      </c>
      <c r="D716" t="s">
        <v>327</v>
      </c>
      <c r="E716" t="s">
        <v>327</v>
      </c>
      <c r="F716" t="s">
        <v>327</v>
      </c>
      <c r="G716" t="s">
        <v>327</v>
      </c>
      <c r="H716" t="s">
        <v>327</v>
      </c>
      <c r="I716" t="s">
        <v>4627</v>
      </c>
    </row>
    <row r="717" spans="1:9">
      <c r="A717" s="5" t="s">
        <v>327</v>
      </c>
      <c r="B717" s="5" t="s">
        <v>4628</v>
      </c>
      <c r="C717" t="s">
        <v>4629</v>
      </c>
      <c r="D717" t="s">
        <v>327</v>
      </c>
      <c r="E717" t="s">
        <v>327</v>
      </c>
      <c r="F717" t="s">
        <v>327</v>
      </c>
      <c r="G717" t="s">
        <v>327</v>
      </c>
      <c r="H717" t="s">
        <v>327</v>
      </c>
      <c r="I717" t="s">
        <v>2990</v>
      </c>
    </row>
    <row r="718" spans="1:9">
      <c r="A718" s="5" t="s">
        <v>327</v>
      </c>
      <c r="B718" s="5" t="s">
        <v>4628</v>
      </c>
      <c r="C718" t="s">
        <v>4630</v>
      </c>
      <c r="D718" t="s">
        <v>327</v>
      </c>
      <c r="E718" t="s">
        <v>327</v>
      </c>
      <c r="F718" t="s">
        <v>327</v>
      </c>
      <c r="G718" t="s">
        <v>327</v>
      </c>
      <c r="H718" t="s">
        <v>327</v>
      </c>
      <c r="I718" t="s">
        <v>2990</v>
      </c>
    </row>
    <row r="719" spans="1:9">
      <c r="A719" s="5" t="s">
        <v>327</v>
      </c>
      <c r="B719" s="5" t="s">
        <v>4628</v>
      </c>
      <c r="C719" t="s">
        <v>4631</v>
      </c>
      <c r="D719" t="s">
        <v>327</v>
      </c>
      <c r="E719" t="s">
        <v>327</v>
      </c>
      <c r="F719" t="s">
        <v>327</v>
      </c>
      <c r="G719" t="s">
        <v>327</v>
      </c>
      <c r="H719" t="s">
        <v>327</v>
      </c>
      <c r="I719" t="s">
        <v>2990</v>
      </c>
    </row>
    <row r="720" spans="1:9">
      <c r="A720" s="5" t="s">
        <v>327</v>
      </c>
      <c r="B720" s="5" t="s">
        <v>4628</v>
      </c>
      <c r="C720" t="s">
        <v>4632</v>
      </c>
      <c r="D720" t="s">
        <v>327</v>
      </c>
      <c r="E720" t="s">
        <v>327</v>
      </c>
      <c r="F720" t="s">
        <v>327</v>
      </c>
      <c r="G720" t="s">
        <v>327</v>
      </c>
      <c r="H720" t="s">
        <v>327</v>
      </c>
      <c r="I720" t="s">
        <v>2990</v>
      </c>
    </row>
    <row r="721" spans="1:9">
      <c r="A721" s="5" t="s">
        <v>327</v>
      </c>
      <c r="B721" s="5" t="s">
        <v>4628</v>
      </c>
      <c r="C721" t="s">
        <v>4633</v>
      </c>
      <c r="D721" t="s">
        <v>327</v>
      </c>
      <c r="E721" t="s">
        <v>327</v>
      </c>
      <c r="F721" t="s">
        <v>327</v>
      </c>
      <c r="G721" t="s">
        <v>327</v>
      </c>
      <c r="H721" t="s">
        <v>327</v>
      </c>
      <c r="I721" t="s">
        <v>2990</v>
      </c>
    </row>
    <row r="722" spans="1:9">
      <c r="A722" s="5" t="s">
        <v>327</v>
      </c>
      <c r="B722" s="5" t="s">
        <v>4628</v>
      </c>
      <c r="C722" t="s">
        <v>4634</v>
      </c>
      <c r="D722" t="s">
        <v>327</v>
      </c>
      <c r="E722" t="s">
        <v>327</v>
      </c>
      <c r="F722" t="s">
        <v>327</v>
      </c>
      <c r="G722" t="s">
        <v>327</v>
      </c>
      <c r="H722" t="s">
        <v>327</v>
      </c>
      <c r="I722" t="s">
        <v>2990</v>
      </c>
    </row>
    <row r="723" spans="1:9">
      <c r="A723" s="5" t="s">
        <v>327</v>
      </c>
      <c r="B723" s="5" t="s">
        <v>4628</v>
      </c>
      <c r="C723" t="s">
        <v>4635</v>
      </c>
      <c r="D723" t="s">
        <v>327</v>
      </c>
      <c r="E723" t="s">
        <v>327</v>
      </c>
      <c r="F723" t="s">
        <v>327</v>
      </c>
      <c r="G723" t="s">
        <v>327</v>
      </c>
      <c r="H723" t="s">
        <v>327</v>
      </c>
      <c r="I723" t="s">
        <v>2990</v>
      </c>
    </row>
    <row r="724" spans="1:9">
      <c r="A724" s="5" t="s">
        <v>327</v>
      </c>
      <c r="B724" s="5" t="s">
        <v>4628</v>
      </c>
      <c r="C724" t="s">
        <v>4636</v>
      </c>
      <c r="D724" t="s">
        <v>327</v>
      </c>
      <c r="E724" t="s">
        <v>327</v>
      </c>
      <c r="F724" t="s">
        <v>327</v>
      </c>
      <c r="G724" t="s">
        <v>327</v>
      </c>
      <c r="H724" t="s">
        <v>327</v>
      </c>
      <c r="I724" t="s">
        <v>2990</v>
      </c>
    </row>
    <row r="725" spans="1:9">
      <c r="A725" s="5" t="s">
        <v>327</v>
      </c>
      <c r="B725" s="5" t="s">
        <v>4628</v>
      </c>
      <c r="C725" t="s">
        <v>4637</v>
      </c>
      <c r="D725" t="s">
        <v>327</v>
      </c>
      <c r="E725" t="s">
        <v>327</v>
      </c>
      <c r="F725" t="s">
        <v>327</v>
      </c>
      <c r="G725" t="s">
        <v>327</v>
      </c>
      <c r="H725" t="s">
        <v>327</v>
      </c>
      <c r="I725" t="s">
        <v>2990</v>
      </c>
    </row>
    <row r="726" spans="1:9">
      <c r="A726" s="5" t="s">
        <v>327</v>
      </c>
      <c r="B726" s="5" t="s">
        <v>4628</v>
      </c>
      <c r="C726" t="s">
        <v>4638</v>
      </c>
      <c r="D726" t="s">
        <v>327</v>
      </c>
      <c r="E726" t="s">
        <v>327</v>
      </c>
      <c r="F726" t="s">
        <v>327</v>
      </c>
      <c r="G726" t="s">
        <v>327</v>
      </c>
      <c r="H726" t="s">
        <v>327</v>
      </c>
      <c r="I726" t="s">
        <v>2990</v>
      </c>
    </row>
    <row r="727" spans="1:9">
      <c r="A727" s="5" t="s">
        <v>327</v>
      </c>
      <c r="B727" s="5" t="s">
        <v>4639</v>
      </c>
      <c r="C727" t="s">
        <v>4640</v>
      </c>
      <c r="D727" t="s">
        <v>327</v>
      </c>
      <c r="E727" t="s">
        <v>327</v>
      </c>
      <c r="F727" t="s">
        <v>327</v>
      </c>
      <c r="G727" t="s">
        <v>327</v>
      </c>
      <c r="H727" t="s">
        <v>327</v>
      </c>
      <c r="I727" t="s">
        <v>2931</v>
      </c>
    </row>
    <row r="728" spans="1:9">
      <c r="A728" s="5" t="s">
        <v>327</v>
      </c>
      <c r="B728" s="5" t="s">
        <v>4641</v>
      </c>
      <c r="C728" t="s">
        <v>4642</v>
      </c>
      <c r="D728" t="s">
        <v>327</v>
      </c>
      <c r="E728" t="s">
        <v>327</v>
      </c>
      <c r="F728" t="s">
        <v>327</v>
      </c>
      <c r="G728" t="s">
        <v>327</v>
      </c>
      <c r="H728" t="s">
        <v>327</v>
      </c>
      <c r="I728" t="s">
        <v>2990</v>
      </c>
    </row>
    <row r="729" spans="1:9">
      <c r="A729" s="5" t="s">
        <v>327</v>
      </c>
      <c r="B729" s="5" t="s">
        <v>4643</v>
      </c>
      <c r="C729" t="s">
        <v>4644</v>
      </c>
      <c r="D729" t="s">
        <v>327</v>
      </c>
      <c r="E729" t="s">
        <v>327</v>
      </c>
      <c r="F729" t="s">
        <v>327</v>
      </c>
      <c r="G729" t="s">
        <v>327</v>
      </c>
      <c r="H729" t="s">
        <v>327</v>
      </c>
      <c r="I729" t="s">
        <v>2990</v>
      </c>
    </row>
    <row r="730" spans="1:9">
      <c r="A730" s="5" t="s">
        <v>327</v>
      </c>
      <c r="B730" s="5" t="s">
        <v>4645</v>
      </c>
      <c r="C730" t="s">
        <v>4646</v>
      </c>
      <c r="D730" t="s">
        <v>327</v>
      </c>
      <c r="E730" t="s">
        <v>327</v>
      </c>
      <c r="F730" t="s">
        <v>327</v>
      </c>
      <c r="G730" t="s">
        <v>327</v>
      </c>
      <c r="H730" t="s">
        <v>327</v>
      </c>
      <c r="I730" t="s">
        <v>2931</v>
      </c>
    </row>
    <row r="731" spans="1:9">
      <c r="A731" s="5" t="s">
        <v>327</v>
      </c>
      <c r="B731" s="5" t="s">
        <v>4647</v>
      </c>
      <c r="C731" t="s">
        <v>4648</v>
      </c>
      <c r="D731" t="s">
        <v>327</v>
      </c>
      <c r="E731" t="s">
        <v>327</v>
      </c>
      <c r="F731" t="s">
        <v>327</v>
      </c>
      <c r="G731" t="s">
        <v>327</v>
      </c>
      <c r="H731" t="s">
        <v>327</v>
      </c>
      <c r="I731" t="s">
        <v>4259</v>
      </c>
    </row>
    <row r="732" spans="1:9">
      <c r="A732" s="5" t="s">
        <v>327</v>
      </c>
      <c r="B732" s="5" t="s">
        <v>4649</v>
      </c>
      <c r="C732" t="s">
        <v>4650</v>
      </c>
      <c r="D732" t="s">
        <v>327</v>
      </c>
      <c r="E732" t="s">
        <v>327</v>
      </c>
      <c r="F732" t="s">
        <v>327</v>
      </c>
      <c r="G732" t="s">
        <v>327</v>
      </c>
      <c r="H732" t="s">
        <v>327</v>
      </c>
      <c r="I732" t="s">
        <v>2990</v>
      </c>
    </row>
    <row r="733" spans="1:9">
      <c r="A733" s="5" t="s">
        <v>327</v>
      </c>
      <c r="B733" s="5" t="s">
        <v>4651</v>
      </c>
      <c r="C733" t="s">
        <v>4652</v>
      </c>
      <c r="D733" t="s">
        <v>327</v>
      </c>
      <c r="E733" t="s">
        <v>327</v>
      </c>
      <c r="F733" t="s">
        <v>327</v>
      </c>
      <c r="G733" t="s">
        <v>327</v>
      </c>
      <c r="H733" t="s">
        <v>327</v>
      </c>
      <c r="I733" t="s">
        <v>2931</v>
      </c>
    </row>
    <row r="734" spans="1:9">
      <c r="A734" s="5" t="s">
        <v>327</v>
      </c>
      <c r="B734" s="5" t="s">
        <v>4653</v>
      </c>
      <c r="C734" t="s">
        <v>4654</v>
      </c>
      <c r="D734" t="s">
        <v>327</v>
      </c>
      <c r="E734" t="s">
        <v>327</v>
      </c>
      <c r="F734" t="s">
        <v>327</v>
      </c>
      <c r="G734" t="s">
        <v>327</v>
      </c>
      <c r="H734" t="s">
        <v>327</v>
      </c>
      <c r="I734" t="s">
        <v>2931</v>
      </c>
    </row>
    <row r="735" spans="1:9">
      <c r="A735" s="5" t="s">
        <v>327</v>
      </c>
      <c r="B735" s="5" t="s">
        <v>4655</v>
      </c>
      <c r="C735" t="s">
        <v>4656</v>
      </c>
      <c r="D735" t="s">
        <v>327</v>
      </c>
      <c r="E735" t="s">
        <v>327</v>
      </c>
      <c r="F735" t="s">
        <v>327</v>
      </c>
      <c r="G735" t="s">
        <v>327</v>
      </c>
      <c r="H735" t="s">
        <v>327</v>
      </c>
      <c r="I735" t="s">
        <v>2990</v>
      </c>
    </row>
    <row r="736" spans="1:9">
      <c r="A736" s="5" t="s">
        <v>327</v>
      </c>
      <c r="B736" s="5" t="s">
        <v>4657</v>
      </c>
      <c r="C736" t="s">
        <v>4658</v>
      </c>
      <c r="D736" t="s">
        <v>327</v>
      </c>
      <c r="E736" t="s">
        <v>327</v>
      </c>
      <c r="F736" t="s">
        <v>327</v>
      </c>
      <c r="G736" t="s">
        <v>327</v>
      </c>
      <c r="H736" t="s">
        <v>327</v>
      </c>
      <c r="I736" t="s">
        <v>2931</v>
      </c>
    </row>
    <row r="737" spans="1:9">
      <c r="A737" s="5" t="s">
        <v>327</v>
      </c>
      <c r="B737" s="5" t="s">
        <v>4659</v>
      </c>
      <c r="C737" t="s">
        <v>4660</v>
      </c>
      <c r="D737" t="s">
        <v>327</v>
      </c>
      <c r="E737" t="s">
        <v>327</v>
      </c>
      <c r="F737" t="s">
        <v>327</v>
      </c>
      <c r="G737" t="s">
        <v>327</v>
      </c>
      <c r="H737" t="s">
        <v>327</v>
      </c>
      <c r="I737" t="s">
        <v>2931</v>
      </c>
    </row>
    <row r="738" spans="1:9">
      <c r="A738" s="5" t="s">
        <v>327</v>
      </c>
      <c r="B738" s="5" t="s">
        <v>4661</v>
      </c>
      <c r="C738" t="s">
        <v>4662</v>
      </c>
      <c r="D738" t="s">
        <v>327</v>
      </c>
      <c r="E738" t="s">
        <v>327</v>
      </c>
      <c r="F738" t="s">
        <v>327</v>
      </c>
      <c r="G738" t="s">
        <v>327</v>
      </c>
      <c r="H738" t="s">
        <v>327</v>
      </c>
      <c r="I738" t="s">
        <v>4546</v>
      </c>
    </row>
    <row r="739" spans="1:9">
      <c r="A739" s="5" t="s">
        <v>327</v>
      </c>
      <c r="B739" s="5" t="s">
        <v>4663</v>
      </c>
      <c r="C739" t="s">
        <v>4664</v>
      </c>
      <c r="D739" t="s">
        <v>327</v>
      </c>
      <c r="E739" t="s">
        <v>327</v>
      </c>
      <c r="F739" t="s">
        <v>327</v>
      </c>
      <c r="G739" t="s">
        <v>327</v>
      </c>
      <c r="H739" t="s">
        <v>327</v>
      </c>
      <c r="I739" t="s">
        <v>4546</v>
      </c>
    </row>
    <row r="740" spans="1:9">
      <c r="A740" s="5" t="s">
        <v>327</v>
      </c>
      <c r="B740" s="5" t="s">
        <v>4665</v>
      </c>
      <c r="C740" t="s">
        <v>4666</v>
      </c>
      <c r="D740" t="s">
        <v>327</v>
      </c>
      <c r="E740" t="s">
        <v>327</v>
      </c>
      <c r="F740" t="s">
        <v>327</v>
      </c>
      <c r="G740" t="s">
        <v>327</v>
      </c>
      <c r="H740" t="s">
        <v>327</v>
      </c>
      <c r="I740" t="s">
        <v>2931</v>
      </c>
    </row>
    <row r="741" spans="1:9">
      <c r="A741" s="5" t="s">
        <v>327</v>
      </c>
      <c r="B741" s="5" t="s">
        <v>4667</v>
      </c>
      <c r="C741" t="s">
        <v>4668</v>
      </c>
      <c r="D741" t="s">
        <v>327</v>
      </c>
      <c r="E741" t="s">
        <v>327</v>
      </c>
      <c r="F741" t="s">
        <v>327</v>
      </c>
      <c r="G741" t="s">
        <v>327</v>
      </c>
      <c r="H741" t="s">
        <v>327</v>
      </c>
      <c r="I741" t="s">
        <v>2990</v>
      </c>
    </row>
    <row r="742" spans="1:9">
      <c r="A742" s="5" t="s">
        <v>327</v>
      </c>
      <c r="B742" s="5" t="s">
        <v>4669</v>
      </c>
      <c r="C742" t="s">
        <v>4670</v>
      </c>
      <c r="D742" t="s">
        <v>327</v>
      </c>
      <c r="E742" t="s">
        <v>327</v>
      </c>
      <c r="F742" t="s">
        <v>327</v>
      </c>
      <c r="G742" t="s">
        <v>327</v>
      </c>
      <c r="H742" t="s">
        <v>327</v>
      </c>
      <c r="I742" t="s">
        <v>2990</v>
      </c>
    </row>
    <row r="743" spans="1:9">
      <c r="A743" s="5" t="s">
        <v>327</v>
      </c>
      <c r="B743" s="5" t="s">
        <v>4671</v>
      </c>
      <c r="C743" t="s">
        <v>4672</v>
      </c>
      <c r="D743" t="s">
        <v>327</v>
      </c>
      <c r="E743" t="s">
        <v>327</v>
      </c>
      <c r="F743" t="s">
        <v>327</v>
      </c>
      <c r="G743" t="s">
        <v>327</v>
      </c>
      <c r="H743" t="s">
        <v>327</v>
      </c>
      <c r="I743" t="s">
        <v>2931</v>
      </c>
    </row>
    <row r="744" spans="1:9">
      <c r="A744" s="5" t="s">
        <v>327</v>
      </c>
      <c r="B744" s="5" t="s">
        <v>4673</v>
      </c>
      <c r="C744" t="s">
        <v>4674</v>
      </c>
      <c r="D744" t="s">
        <v>327</v>
      </c>
      <c r="E744" t="s">
        <v>327</v>
      </c>
      <c r="F744" t="s">
        <v>327</v>
      </c>
      <c r="G744" t="s">
        <v>327</v>
      </c>
      <c r="H744" t="s">
        <v>327</v>
      </c>
      <c r="I744" t="s">
        <v>2990</v>
      </c>
    </row>
    <row r="745" spans="1:9">
      <c r="A745" s="5" t="s">
        <v>327</v>
      </c>
      <c r="B745" s="5" t="s">
        <v>4675</v>
      </c>
      <c r="C745" t="s">
        <v>4676</v>
      </c>
      <c r="D745" t="s">
        <v>327</v>
      </c>
      <c r="E745" t="s">
        <v>327</v>
      </c>
      <c r="F745" t="s">
        <v>327</v>
      </c>
      <c r="G745" t="s">
        <v>327</v>
      </c>
      <c r="H745" t="s">
        <v>327</v>
      </c>
      <c r="I745" t="s">
        <v>2990</v>
      </c>
    </row>
    <row r="746" spans="1:9">
      <c r="A746" s="5" t="s">
        <v>327</v>
      </c>
      <c r="B746" s="5" t="s">
        <v>4677</v>
      </c>
      <c r="C746" t="s">
        <v>4678</v>
      </c>
      <c r="D746" t="s">
        <v>327</v>
      </c>
      <c r="E746" t="s">
        <v>327</v>
      </c>
      <c r="F746" t="s">
        <v>327</v>
      </c>
      <c r="G746" t="s">
        <v>327</v>
      </c>
      <c r="H746" t="s">
        <v>327</v>
      </c>
      <c r="I746" t="s">
        <v>2990</v>
      </c>
    </row>
    <row r="747" spans="1:9">
      <c r="A747" s="5" t="s">
        <v>327</v>
      </c>
      <c r="B747" s="5" t="s">
        <v>4679</v>
      </c>
      <c r="C747" t="s">
        <v>4680</v>
      </c>
      <c r="D747" t="s">
        <v>327</v>
      </c>
      <c r="E747" t="s">
        <v>327</v>
      </c>
      <c r="F747" t="s">
        <v>327</v>
      </c>
      <c r="G747" t="s">
        <v>327</v>
      </c>
      <c r="H747" t="s">
        <v>327</v>
      </c>
      <c r="I747" t="s">
        <v>2990</v>
      </c>
    </row>
    <row r="748" spans="1:9">
      <c r="A748" s="5" t="s">
        <v>327</v>
      </c>
      <c r="B748" s="5" t="s">
        <v>4681</v>
      </c>
      <c r="C748" t="s">
        <v>4682</v>
      </c>
      <c r="D748" t="s">
        <v>327</v>
      </c>
      <c r="E748" t="s">
        <v>327</v>
      </c>
      <c r="F748" t="s">
        <v>327</v>
      </c>
      <c r="G748" t="s">
        <v>327</v>
      </c>
      <c r="H748" t="s">
        <v>327</v>
      </c>
      <c r="I748" t="s">
        <v>2990</v>
      </c>
    </row>
    <row r="749" spans="1:9">
      <c r="A749" s="5" t="s">
        <v>327</v>
      </c>
      <c r="B749" s="5" t="s">
        <v>4683</v>
      </c>
      <c r="C749" t="s">
        <v>4684</v>
      </c>
      <c r="D749" t="s">
        <v>327</v>
      </c>
      <c r="E749" t="s">
        <v>327</v>
      </c>
      <c r="F749" t="s">
        <v>327</v>
      </c>
      <c r="G749" t="s">
        <v>327</v>
      </c>
      <c r="H749" t="s">
        <v>327</v>
      </c>
      <c r="I749" t="s">
        <v>2931</v>
      </c>
    </row>
    <row r="750" spans="1:9">
      <c r="A750" s="5" t="s">
        <v>327</v>
      </c>
      <c r="B750" s="5" t="s">
        <v>4685</v>
      </c>
      <c r="C750" t="s">
        <v>4686</v>
      </c>
      <c r="D750" t="s">
        <v>327</v>
      </c>
      <c r="E750" t="s">
        <v>327</v>
      </c>
      <c r="F750" t="s">
        <v>327</v>
      </c>
      <c r="G750" t="s">
        <v>327</v>
      </c>
      <c r="H750" t="s">
        <v>327</v>
      </c>
      <c r="I750" t="s">
        <v>2990</v>
      </c>
    </row>
    <row r="751" spans="1:9">
      <c r="A751" s="5" t="s">
        <v>327</v>
      </c>
      <c r="B751" s="5" t="s">
        <v>4687</v>
      </c>
      <c r="C751" t="s">
        <v>4688</v>
      </c>
      <c r="D751" t="s">
        <v>327</v>
      </c>
      <c r="E751" t="s">
        <v>327</v>
      </c>
      <c r="F751" t="s">
        <v>327</v>
      </c>
      <c r="G751" t="s">
        <v>327</v>
      </c>
      <c r="H751" t="s">
        <v>327</v>
      </c>
      <c r="I751" t="s">
        <v>4546</v>
      </c>
    </row>
    <row r="752" spans="1:9">
      <c r="A752" s="5" t="s">
        <v>327</v>
      </c>
      <c r="B752" s="5" t="s">
        <v>4689</v>
      </c>
      <c r="C752" t="s">
        <v>4690</v>
      </c>
      <c r="D752" t="s">
        <v>327</v>
      </c>
      <c r="E752" t="s">
        <v>327</v>
      </c>
      <c r="F752" t="s">
        <v>327</v>
      </c>
      <c r="G752" t="s">
        <v>327</v>
      </c>
      <c r="H752" t="s">
        <v>327</v>
      </c>
      <c r="I752" t="s">
        <v>4546</v>
      </c>
    </row>
    <row r="753" spans="1:9">
      <c r="A753" s="5" t="s">
        <v>327</v>
      </c>
      <c r="B753" s="5" t="s">
        <v>4691</v>
      </c>
      <c r="C753" t="s">
        <v>4692</v>
      </c>
      <c r="D753" t="s">
        <v>327</v>
      </c>
      <c r="E753" t="s">
        <v>327</v>
      </c>
      <c r="F753" t="s">
        <v>327</v>
      </c>
      <c r="G753" t="s">
        <v>327</v>
      </c>
      <c r="H753" t="s">
        <v>327</v>
      </c>
      <c r="I753" t="s">
        <v>4546</v>
      </c>
    </row>
    <row r="754" spans="1:9">
      <c r="A754" s="5" t="s">
        <v>327</v>
      </c>
      <c r="B754" s="5" t="s">
        <v>4693</v>
      </c>
      <c r="C754" t="s">
        <v>4694</v>
      </c>
      <c r="D754" t="s">
        <v>327</v>
      </c>
      <c r="E754" t="s">
        <v>327</v>
      </c>
      <c r="F754" t="s">
        <v>327</v>
      </c>
      <c r="G754" t="s">
        <v>327</v>
      </c>
      <c r="H754" t="s">
        <v>327</v>
      </c>
      <c r="I754" t="s">
        <v>4546</v>
      </c>
    </row>
    <row r="755" spans="1:9">
      <c r="A755" s="5" t="s">
        <v>327</v>
      </c>
      <c r="B755" s="5" t="s">
        <v>4695</v>
      </c>
      <c r="C755" t="s">
        <v>4696</v>
      </c>
      <c r="D755" t="s">
        <v>327</v>
      </c>
      <c r="E755" t="s">
        <v>327</v>
      </c>
      <c r="F755" t="s">
        <v>327</v>
      </c>
      <c r="G755" t="s">
        <v>327</v>
      </c>
      <c r="H755" t="s">
        <v>327</v>
      </c>
      <c r="I755" t="s">
        <v>4546</v>
      </c>
    </row>
    <row r="756" spans="1:9">
      <c r="A756" s="5" t="s">
        <v>327</v>
      </c>
      <c r="B756" s="5" t="s">
        <v>4697</v>
      </c>
      <c r="C756" t="s">
        <v>4698</v>
      </c>
      <c r="D756" t="s">
        <v>327</v>
      </c>
      <c r="E756" t="s">
        <v>327</v>
      </c>
      <c r="F756" t="s">
        <v>327</v>
      </c>
      <c r="G756" t="s">
        <v>327</v>
      </c>
      <c r="H756" t="s">
        <v>327</v>
      </c>
      <c r="I756" t="s">
        <v>4546</v>
      </c>
    </row>
    <row r="757" spans="1:9">
      <c r="A757" s="5" t="s">
        <v>327</v>
      </c>
      <c r="B757" s="5" t="s">
        <v>4699</v>
      </c>
      <c r="C757" t="s">
        <v>4700</v>
      </c>
      <c r="D757" t="s">
        <v>327</v>
      </c>
      <c r="E757" t="s">
        <v>327</v>
      </c>
      <c r="F757" t="s">
        <v>327</v>
      </c>
      <c r="G757" t="s">
        <v>327</v>
      </c>
      <c r="H757" t="s">
        <v>327</v>
      </c>
      <c r="I757" t="s">
        <v>4546</v>
      </c>
    </row>
    <row r="758" spans="1:9">
      <c r="A758" s="5" t="s">
        <v>327</v>
      </c>
      <c r="B758" s="5" t="s">
        <v>4701</v>
      </c>
      <c r="C758" t="s">
        <v>4702</v>
      </c>
      <c r="D758" t="s">
        <v>327</v>
      </c>
      <c r="E758" t="s">
        <v>327</v>
      </c>
      <c r="F758" t="s">
        <v>327</v>
      </c>
      <c r="G758" t="s">
        <v>327</v>
      </c>
      <c r="H758" t="s">
        <v>327</v>
      </c>
      <c r="I758" t="s">
        <v>4546</v>
      </c>
    </row>
    <row r="759" spans="1:9">
      <c r="A759" s="5" t="s">
        <v>327</v>
      </c>
      <c r="B759" s="5" t="s">
        <v>4703</v>
      </c>
      <c r="C759" t="s">
        <v>4704</v>
      </c>
      <c r="D759" t="s">
        <v>327</v>
      </c>
      <c r="E759" t="s">
        <v>327</v>
      </c>
      <c r="F759" t="s">
        <v>327</v>
      </c>
      <c r="G759" t="s">
        <v>327</v>
      </c>
      <c r="H759" t="s">
        <v>327</v>
      </c>
      <c r="I759" t="s">
        <v>4546</v>
      </c>
    </row>
    <row r="760" spans="1:9">
      <c r="A760" s="5" t="s">
        <v>327</v>
      </c>
      <c r="B760" s="5" t="s">
        <v>4705</v>
      </c>
      <c r="C760" t="s">
        <v>4706</v>
      </c>
      <c r="D760" t="s">
        <v>327</v>
      </c>
      <c r="E760" t="s">
        <v>327</v>
      </c>
      <c r="F760" t="s">
        <v>327</v>
      </c>
      <c r="G760" t="s">
        <v>327</v>
      </c>
      <c r="H760" t="s">
        <v>327</v>
      </c>
      <c r="I760" t="s">
        <v>4461</v>
      </c>
    </row>
    <row r="761" spans="1:9">
      <c r="A761" s="5" t="s">
        <v>327</v>
      </c>
      <c r="B761" s="5" t="s">
        <v>4695</v>
      </c>
      <c r="C761" t="s">
        <v>4707</v>
      </c>
      <c r="D761" t="s">
        <v>327</v>
      </c>
      <c r="E761" t="s">
        <v>327</v>
      </c>
      <c r="F761" t="s">
        <v>327</v>
      </c>
      <c r="G761" t="s">
        <v>327</v>
      </c>
      <c r="H761" t="s">
        <v>327</v>
      </c>
      <c r="I761" t="s">
        <v>4461</v>
      </c>
    </row>
    <row r="762" spans="1:9">
      <c r="A762" s="5" t="s">
        <v>327</v>
      </c>
      <c r="B762" s="5" t="s">
        <v>4708</v>
      </c>
      <c r="C762" t="s">
        <v>4709</v>
      </c>
      <c r="D762" t="s">
        <v>327</v>
      </c>
      <c r="E762" t="s">
        <v>327</v>
      </c>
      <c r="F762" t="s">
        <v>327</v>
      </c>
      <c r="G762" t="s">
        <v>327</v>
      </c>
      <c r="H762" t="s">
        <v>327</v>
      </c>
      <c r="I762" t="s">
        <v>4461</v>
      </c>
    </row>
    <row r="763" spans="1:9">
      <c r="A763" s="5" t="s">
        <v>327</v>
      </c>
      <c r="B763" s="5" t="s">
        <v>4699</v>
      </c>
      <c r="C763" t="s">
        <v>4710</v>
      </c>
      <c r="D763" t="s">
        <v>327</v>
      </c>
      <c r="E763" t="s">
        <v>327</v>
      </c>
      <c r="F763" t="s">
        <v>327</v>
      </c>
      <c r="G763" t="s">
        <v>327</v>
      </c>
      <c r="H763" t="s">
        <v>327</v>
      </c>
      <c r="I763" t="s">
        <v>4461</v>
      </c>
    </row>
    <row r="764" spans="1:9">
      <c r="A764" s="5" t="s">
        <v>327</v>
      </c>
      <c r="B764" s="5" t="s">
        <v>4711</v>
      </c>
      <c r="C764" t="s">
        <v>4712</v>
      </c>
      <c r="D764" t="s">
        <v>327</v>
      </c>
      <c r="E764" t="s">
        <v>327</v>
      </c>
      <c r="F764" t="s">
        <v>327</v>
      </c>
      <c r="G764" t="s">
        <v>327</v>
      </c>
      <c r="H764" t="s">
        <v>327</v>
      </c>
      <c r="I764" t="s">
        <v>4461</v>
      </c>
    </row>
    <row r="765" spans="1:9">
      <c r="A765" s="5" t="s">
        <v>327</v>
      </c>
      <c r="B765" s="5" t="s">
        <v>4713</v>
      </c>
      <c r="C765" t="s">
        <v>4714</v>
      </c>
      <c r="D765" t="s">
        <v>327</v>
      </c>
      <c r="E765" t="s">
        <v>327</v>
      </c>
      <c r="F765" t="s">
        <v>327</v>
      </c>
      <c r="G765" t="s">
        <v>327</v>
      </c>
      <c r="H765" t="s">
        <v>327</v>
      </c>
      <c r="I765" t="s">
        <v>4715</v>
      </c>
    </row>
    <row r="766" spans="1:9">
      <c r="A766" s="5" t="s">
        <v>327</v>
      </c>
      <c r="B766" s="5" t="s">
        <v>4716</v>
      </c>
      <c r="C766" t="s">
        <v>4717</v>
      </c>
      <c r="D766" t="s">
        <v>327</v>
      </c>
      <c r="E766" t="s">
        <v>327</v>
      </c>
      <c r="F766" t="s">
        <v>327</v>
      </c>
      <c r="G766" t="s">
        <v>327</v>
      </c>
      <c r="H766" t="s">
        <v>327</v>
      </c>
      <c r="I766" t="s">
        <v>4546</v>
      </c>
    </row>
    <row r="767" spans="1:9">
      <c r="A767" s="5" t="s">
        <v>327</v>
      </c>
      <c r="B767" s="5" t="s">
        <v>4718</v>
      </c>
      <c r="C767" t="s">
        <v>4719</v>
      </c>
      <c r="D767" t="s">
        <v>327</v>
      </c>
      <c r="E767" t="s">
        <v>327</v>
      </c>
      <c r="F767" t="s">
        <v>327</v>
      </c>
      <c r="G767" t="s">
        <v>327</v>
      </c>
      <c r="H767" t="s">
        <v>327</v>
      </c>
      <c r="I767" t="s">
        <v>2931</v>
      </c>
    </row>
    <row r="768" spans="1:9">
      <c r="A768" s="5" t="s">
        <v>327</v>
      </c>
      <c r="B768" s="5" t="s">
        <v>4720</v>
      </c>
      <c r="C768" t="s">
        <v>4721</v>
      </c>
      <c r="D768" t="s">
        <v>327</v>
      </c>
      <c r="E768" t="s">
        <v>327</v>
      </c>
      <c r="F768" t="s">
        <v>327</v>
      </c>
      <c r="G768" t="s">
        <v>327</v>
      </c>
      <c r="H768" t="s">
        <v>327</v>
      </c>
      <c r="I768" t="s">
        <v>2931</v>
      </c>
    </row>
    <row r="769" spans="1:9">
      <c r="A769" s="5" t="s">
        <v>327</v>
      </c>
      <c r="B769" s="5" t="s">
        <v>4722</v>
      </c>
      <c r="C769" t="s">
        <v>4723</v>
      </c>
      <c r="D769" t="s">
        <v>327</v>
      </c>
      <c r="E769" t="s">
        <v>327</v>
      </c>
      <c r="F769" t="s">
        <v>327</v>
      </c>
      <c r="G769" t="s">
        <v>327</v>
      </c>
      <c r="H769" t="s">
        <v>327</v>
      </c>
      <c r="I769" t="s">
        <v>4546</v>
      </c>
    </row>
    <row r="770" spans="1:9">
      <c r="A770" s="5" t="s">
        <v>327</v>
      </c>
      <c r="B770" s="5" t="s">
        <v>4724</v>
      </c>
      <c r="C770" t="s">
        <v>4725</v>
      </c>
      <c r="D770" t="s">
        <v>327</v>
      </c>
      <c r="E770" t="s">
        <v>327</v>
      </c>
      <c r="F770" t="s">
        <v>327</v>
      </c>
      <c r="G770" t="s">
        <v>327</v>
      </c>
      <c r="H770" t="s">
        <v>327</v>
      </c>
      <c r="I770" t="s">
        <v>4546</v>
      </c>
    </row>
    <row r="771" spans="1:9">
      <c r="A771" s="5" t="s">
        <v>327</v>
      </c>
      <c r="B771" s="5" t="s">
        <v>4726</v>
      </c>
      <c r="C771" t="s">
        <v>4727</v>
      </c>
      <c r="D771" t="s">
        <v>327</v>
      </c>
      <c r="E771" t="s">
        <v>327</v>
      </c>
      <c r="F771" t="s">
        <v>327</v>
      </c>
      <c r="G771" t="s">
        <v>327</v>
      </c>
      <c r="H771" t="s">
        <v>327</v>
      </c>
      <c r="I771" t="s">
        <v>4546</v>
      </c>
    </row>
    <row r="772" spans="1:9">
      <c r="A772" s="5" t="s">
        <v>327</v>
      </c>
      <c r="B772" s="5" t="s">
        <v>4728</v>
      </c>
      <c r="C772" t="s">
        <v>4729</v>
      </c>
      <c r="D772" t="s">
        <v>327</v>
      </c>
      <c r="E772" t="s">
        <v>327</v>
      </c>
      <c r="F772" t="s">
        <v>327</v>
      </c>
      <c r="G772" t="s">
        <v>327</v>
      </c>
      <c r="H772" t="s">
        <v>327</v>
      </c>
      <c r="I772" t="s">
        <v>4546</v>
      </c>
    </row>
    <row r="773" spans="1:9">
      <c r="A773" s="5" t="s">
        <v>327</v>
      </c>
      <c r="B773" s="5" t="s">
        <v>4730</v>
      </c>
      <c r="C773" t="s">
        <v>4731</v>
      </c>
      <c r="D773" t="s">
        <v>327</v>
      </c>
      <c r="E773" t="s">
        <v>327</v>
      </c>
      <c r="F773" t="s">
        <v>327</v>
      </c>
      <c r="G773" t="s">
        <v>327</v>
      </c>
      <c r="H773" t="s">
        <v>327</v>
      </c>
      <c r="I773" t="s">
        <v>4546</v>
      </c>
    </row>
    <row r="774" spans="1:9">
      <c r="A774" s="5" t="s">
        <v>327</v>
      </c>
      <c r="B774" s="5" t="s">
        <v>4724</v>
      </c>
      <c r="C774" t="s">
        <v>4732</v>
      </c>
      <c r="D774" t="s">
        <v>327</v>
      </c>
      <c r="E774" t="s">
        <v>327</v>
      </c>
      <c r="F774" t="s">
        <v>327</v>
      </c>
      <c r="G774" t="s">
        <v>327</v>
      </c>
      <c r="H774" t="s">
        <v>327</v>
      </c>
      <c r="I774" t="s">
        <v>4461</v>
      </c>
    </row>
    <row r="775" spans="1:9">
      <c r="A775" s="5" t="s">
        <v>327</v>
      </c>
      <c r="B775" s="5" t="s">
        <v>4733</v>
      </c>
      <c r="C775" t="s">
        <v>4734</v>
      </c>
      <c r="D775" t="s">
        <v>327</v>
      </c>
      <c r="E775" t="s">
        <v>327</v>
      </c>
      <c r="F775" t="s">
        <v>327</v>
      </c>
      <c r="G775" t="s">
        <v>327</v>
      </c>
      <c r="H775" t="s">
        <v>327</v>
      </c>
      <c r="I775" t="s">
        <v>2931</v>
      </c>
    </row>
    <row r="776" spans="1:9">
      <c r="A776" s="5" t="s">
        <v>327</v>
      </c>
      <c r="B776" s="5" t="s">
        <v>4735</v>
      </c>
      <c r="C776" t="s">
        <v>4736</v>
      </c>
      <c r="D776" t="s">
        <v>327</v>
      </c>
      <c r="E776" t="s">
        <v>327</v>
      </c>
      <c r="F776" t="s">
        <v>327</v>
      </c>
      <c r="G776" t="s">
        <v>327</v>
      </c>
      <c r="H776" t="s">
        <v>327</v>
      </c>
      <c r="I776" t="s">
        <v>2931</v>
      </c>
    </row>
    <row r="777" spans="1:9">
      <c r="A777" s="5" t="s">
        <v>327</v>
      </c>
      <c r="B777" s="5" t="s">
        <v>4737</v>
      </c>
      <c r="C777" t="s">
        <v>4738</v>
      </c>
      <c r="D777" t="s">
        <v>327</v>
      </c>
      <c r="E777" t="s">
        <v>327</v>
      </c>
      <c r="F777" t="s">
        <v>327</v>
      </c>
      <c r="G777" t="s">
        <v>327</v>
      </c>
      <c r="H777" t="s">
        <v>327</v>
      </c>
      <c r="I777" t="s">
        <v>2990</v>
      </c>
    </row>
    <row r="778" spans="1:9">
      <c r="A778" s="5" t="s">
        <v>327</v>
      </c>
      <c r="B778" s="5" t="s">
        <v>4735</v>
      </c>
      <c r="C778" t="s">
        <v>4739</v>
      </c>
      <c r="D778" t="s">
        <v>327</v>
      </c>
      <c r="E778" t="s">
        <v>327</v>
      </c>
      <c r="F778" t="s">
        <v>327</v>
      </c>
      <c r="G778" t="s">
        <v>327</v>
      </c>
      <c r="H778" t="s">
        <v>327</v>
      </c>
      <c r="I778" t="s">
        <v>2931</v>
      </c>
    </row>
    <row r="779" spans="1:9">
      <c r="A779" s="5" t="s">
        <v>327</v>
      </c>
      <c r="B779" s="5" t="s">
        <v>4740</v>
      </c>
      <c r="C779" t="s">
        <v>4741</v>
      </c>
      <c r="D779" t="s">
        <v>327</v>
      </c>
      <c r="E779" t="s">
        <v>327</v>
      </c>
      <c r="F779" t="s">
        <v>327</v>
      </c>
      <c r="G779" t="s">
        <v>327</v>
      </c>
      <c r="H779" t="s">
        <v>327</v>
      </c>
      <c r="I779" t="s">
        <v>2931</v>
      </c>
    </row>
    <row r="780" spans="1:9">
      <c r="A780" s="5" t="s">
        <v>327</v>
      </c>
      <c r="B780" s="5" t="s">
        <v>4742</v>
      </c>
      <c r="C780" t="s">
        <v>4743</v>
      </c>
      <c r="D780" t="s">
        <v>327</v>
      </c>
      <c r="E780" t="s">
        <v>327</v>
      </c>
      <c r="F780" t="s">
        <v>327</v>
      </c>
      <c r="G780" t="s">
        <v>327</v>
      </c>
      <c r="H780" t="s">
        <v>327</v>
      </c>
      <c r="I780" t="s">
        <v>2931</v>
      </c>
    </row>
    <row r="781" spans="1:9">
      <c r="A781" s="5" t="s">
        <v>327</v>
      </c>
      <c r="B781" s="5" t="s">
        <v>4744</v>
      </c>
      <c r="C781" t="s">
        <v>4745</v>
      </c>
      <c r="D781" t="s">
        <v>327</v>
      </c>
      <c r="E781" t="s">
        <v>327</v>
      </c>
      <c r="F781" t="s">
        <v>327</v>
      </c>
      <c r="G781" t="s">
        <v>327</v>
      </c>
      <c r="H781" t="s">
        <v>327</v>
      </c>
      <c r="I781" t="s">
        <v>2931</v>
      </c>
    </row>
    <row r="782" spans="1:9">
      <c r="A782" s="5" t="s">
        <v>327</v>
      </c>
      <c r="B782" s="5" t="s">
        <v>4746</v>
      </c>
      <c r="C782" t="s">
        <v>4747</v>
      </c>
      <c r="D782" t="s">
        <v>327</v>
      </c>
      <c r="E782" t="s">
        <v>327</v>
      </c>
      <c r="F782" t="s">
        <v>327</v>
      </c>
      <c r="G782" t="s">
        <v>327</v>
      </c>
      <c r="H782" t="s">
        <v>327</v>
      </c>
      <c r="I782" t="s">
        <v>2931</v>
      </c>
    </row>
    <row r="783" spans="1:9">
      <c r="A783" s="5" t="s">
        <v>327</v>
      </c>
      <c r="B783" s="5" t="s">
        <v>4748</v>
      </c>
      <c r="C783" t="s">
        <v>4749</v>
      </c>
      <c r="D783" t="s">
        <v>327</v>
      </c>
      <c r="E783" t="s">
        <v>327</v>
      </c>
      <c r="F783" t="s">
        <v>327</v>
      </c>
      <c r="G783" t="s">
        <v>327</v>
      </c>
      <c r="H783" t="s">
        <v>327</v>
      </c>
      <c r="I783" t="s">
        <v>2931</v>
      </c>
    </row>
    <row r="784" spans="1:9">
      <c r="A784" s="5" t="s">
        <v>327</v>
      </c>
      <c r="B784" s="5" t="s">
        <v>4735</v>
      </c>
      <c r="C784" t="s">
        <v>4750</v>
      </c>
      <c r="D784" t="s">
        <v>327</v>
      </c>
      <c r="E784" t="s">
        <v>327</v>
      </c>
      <c r="F784" t="s">
        <v>327</v>
      </c>
      <c r="G784" t="s">
        <v>327</v>
      </c>
      <c r="H784" t="s">
        <v>327</v>
      </c>
      <c r="I784" t="s">
        <v>2931</v>
      </c>
    </row>
    <row r="785" spans="1:9">
      <c r="A785" s="5" t="s">
        <v>327</v>
      </c>
      <c r="B785" s="5" t="s">
        <v>4751</v>
      </c>
      <c r="C785" t="s">
        <v>4752</v>
      </c>
      <c r="D785" t="s">
        <v>327</v>
      </c>
      <c r="E785" t="s">
        <v>327</v>
      </c>
      <c r="F785" t="s">
        <v>327</v>
      </c>
      <c r="G785" t="s">
        <v>327</v>
      </c>
      <c r="H785" t="s">
        <v>327</v>
      </c>
      <c r="I785" t="s">
        <v>2931</v>
      </c>
    </row>
    <row r="786" spans="1:9">
      <c r="A786" s="5" t="s">
        <v>327</v>
      </c>
      <c r="B786" s="5" t="s">
        <v>4751</v>
      </c>
      <c r="C786" t="s">
        <v>4753</v>
      </c>
      <c r="D786" t="s">
        <v>327</v>
      </c>
      <c r="E786" t="s">
        <v>327</v>
      </c>
      <c r="F786" t="s">
        <v>327</v>
      </c>
      <c r="G786" t="s">
        <v>327</v>
      </c>
      <c r="H786" t="s">
        <v>327</v>
      </c>
      <c r="I786" t="s">
        <v>2931</v>
      </c>
    </row>
    <row r="787" spans="1:9">
      <c r="A787" s="5" t="s">
        <v>327</v>
      </c>
      <c r="B787" s="5" t="s">
        <v>4754</v>
      </c>
      <c r="C787" t="s">
        <v>4755</v>
      </c>
      <c r="D787" t="s">
        <v>327</v>
      </c>
      <c r="E787" t="s">
        <v>327</v>
      </c>
      <c r="F787" t="s">
        <v>327</v>
      </c>
      <c r="G787" t="s">
        <v>327</v>
      </c>
      <c r="H787" t="s">
        <v>327</v>
      </c>
      <c r="I787" t="s">
        <v>2990</v>
      </c>
    </row>
    <row r="788" spans="1:9">
      <c r="A788" s="5" t="s">
        <v>327</v>
      </c>
      <c r="B788" s="5" t="s">
        <v>4735</v>
      </c>
      <c r="C788" t="s">
        <v>4756</v>
      </c>
      <c r="D788" t="s">
        <v>327</v>
      </c>
      <c r="E788" t="s">
        <v>327</v>
      </c>
      <c r="F788" t="s">
        <v>327</v>
      </c>
      <c r="G788" t="s">
        <v>327</v>
      </c>
      <c r="H788" t="s">
        <v>327</v>
      </c>
      <c r="I788" t="s">
        <v>2931</v>
      </c>
    </row>
    <row r="789" spans="1:9">
      <c r="A789" s="5" t="s">
        <v>327</v>
      </c>
      <c r="B789" s="5" t="s">
        <v>4735</v>
      </c>
      <c r="C789" t="s">
        <v>4757</v>
      </c>
      <c r="D789" t="s">
        <v>327</v>
      </c>
      <c r="E789" t="s">
        <v>327</v>
      </c>
      <c r="F789" t="s">
        <v>327</v>
      </c>
      <c r="G789" t="s">
        <v>327</v>
      </c>
      <c r="H789" t="s">
        <v>327</v>
      </c>
      <c r="I789" t="s">
        <v>2931</v>
      </c>
    </row>
    <row r="790" spans="1:9">
      <c r="A790" s="5" t="s">
        <v>327</v>
      </c>
      <c r="B790" s="5" t="s">
        <v>4758</v>
      </c>
      <c r="C790" t="s">
        <v>4759</v>
      </c>
      <c r="D790" t="s">
        <v>327</v>
      </c>
      <c r="E790" t="s">
        <v>327</v>
      </c>
      <c r="F790" t="s">
        <v>327</v>
      </c>
      <c r="G790" t="s">
        <v>327</v>
      </c>
      <c r="H790" t="s">
        <v>327</v>
      </c>
      <c r="I790" t="s">
        <v>2931</v>
      </c>
    </row>
    <row r="791" spans="1:9">
      <c r="A791" s="5" t="s">
        <v>327</v>
      </c>
      <c r="B791" s="5" t="s">
        <v>4735</v>
      </c>
      <c r="C791" t="s">
        <v>4760</v>
      </c>
      <c r="D791" t="s">
        <v>327</v>
      </c>
      <c r="E791" t="s">
        <v>327</v>
      </c>
      <c r="F791" t="s">
        <v>327</v>
      </c>
      <c r="G791" t="s">
        <v>327</v>
      </c>
      <c r="H791" t="s">
        <v>327</v>
      </c>
      <c r="I791" t="s">
        <v>2931</v>
      </c>
    </row>
    <row r="792" spans="1:9">
      <c r="A792" s="5" t="s">
        <v>327</v>
      </c>
      <c r="B792" s="5" t="s">
        <v>4761</v>
      </c>
      <c r="C792" t="s">
        <v>4762</v>
      </c>
      <c r="D792" t="s">
        <v>327</v>
      </c>
      <c r="E792" t="s">
        <v>327</v>
      </c>
      <c r="F792" t="s">
        <v>327</v>
      </c>
      <c r="G792" t="s">
        <v>327</v>
      </c>
      <c r="H792" t="s">
        <v>327</v>
      </c>
      <c r="I792" t="s">
        <v>2931</v>
      </c>
    </row>
    <row r="793" spans="1:9">
      <c r="A793" s="5" t="s">
        <v>327</v>
      </c>
      <c r="B793" s="5" t="s">
        <v>4763</v>
      </c>
      <c r="C793" t="s">
        <v>4764</v>
      </c>
      <c r="D793" t="s">
        <v>327</v>
      </c>
      <c r="E793" t="s">
        <v>327</v>
      </c>
      <c r="F793" t="s">
        <v>327</v>
      </c>
      <c r="G793" t="s">
        <v>327</v>
      </c>
      <c r="H793" t="s">
        <v>327</v>
      </c>
      <c r="I793" t="s">
        <v>2931</v>
      </c>
    </row>
    <row r="794" spans="1:9">
      <c r="A794" s="5" t="s">
        <v>327</v>
      </c>
      <c r="B794" s="5" t="s">
        <v>4765</v>
      </c>
      <c r="C794" t="s">
        <v>4766</v>
      </c>
      <c r="D794" t="s">
        <v>327</v>
      </c>
      <c r="E794" t="s">
        <v>327</v>
      </c>
      <c r="F794" t="s">
        <v>327</v>
      </c>
      <c r="G794" t="s">
        <v>327</v>
      </c>
      <c r="H794" t="s">
        <v>327</v>
      </c>
      <c r="I794" t="s">
        <v>2990</v>
      </c>
    </row>
    <row r="795" spans="1:9">
      <c r="A795" s="5" t="s">
        <v>327</v>
      </c>
      <c r="B795" s="5" t="s">
        <v>4767</v>
      </c>
      <c r="C795" t="s">
        <v>4768</v>
      </c>
      <c r="D795" t="s">
        <v>327</v>
      </c>
      <c r="E795" t="s">
        <v>327</v>
      </c>
      <c r="F795" t="s">
        <v>327</v>
      </c>
      <c r="G795" t="s">
        <v>327</v>
      </c>
      <c r="H795" t="s">
        <v>327</v>
      </c>
      <c r="I795" t="s">
        <v>2990</v>
      </c>
    </row>
    <row r="796" spans="1:9">
      <c r="A796" s="5" t="s">
        <v>327</v>
      </c>
      <c r="B796" s="5" t="s">
        <v>4769</v>
      </c>
      <c r="C796" t="s">
        <v>4770</v>
      </c>
      <c r="D796" t="s">
        <v>327</v>
      </c>
      <c r="E796" t="s">
        <v>327</v>
      </c>
      <c r="F796" t="s">
        <v>327</v>
      </c>
      <c r="G796" t="s">
        <v>327</v>
      </c>
      <c r="H796" t="s">
        <v>327</v>
      </c>
      <c r="I796" t="s">
        <v>2931</v>
      </c>
    </row>
    <row r="797" spans="1:9">
      <c r="A797" s="5" t="s">
        <v>327</v>
      </c>
      <c r="B797" s="5" t="s">
        <v>4771</v>
      </c>
      <c r="C797" t="s">
        <v>4772</v>
      </c>
      <c r="D797" t="s">
        <v>327</v>
      </c>
      <c r="E797" t="s">
        <v>327</v>
      </c>
      <c r="F797" t="s">
        <v>327</v>
      </c>
      <c r="G797" t="s">
        <v>327</v>
      </c>
      <c r="H797" t="s">
        <v>327</v>
      </c>
      <c r="I797" t="s">
        <v>2990</v>
      </c>
    </row>
    <row r="798" spans="1:9">
      <c r="A798" s="5" t="s">
        <v>327</v>
      </c>
      <c r="B798" s="5" t="s">
        <v>4765</v>
      </c>
      <c r="C798" t="s">
        <v>4773</v>
      </c>
      <c r="D798" t="s">
        <v>327</v>
      </c>
      <c r="E798" t="s">
        <v>327</v>
      </c>
      <c r="F798" t="s">
        <v>327</v>
      </c>
      <c r="G798" t="s">
        <v>327</v>
      </c>
      <c r="H798" t="s">
        <v>327</v>
      </c>
      <c r="I798" t="s">
        <v>2990</v>
      </c>
    </row>
    <row r="799" spans="1:9">
      <c r="A799" s="5" t="s">
        <v>327</v>
      </c>
      <c r="B799" s="5" t="s">
        <v>4774</v>
      </c>
      <c r="C799" t="s">
        <v>4775</v>
      </c>
      <c r="D799" t="s">
        <v>327</v>
      </c>
      <c r="E799" t="s">
        <v>327</v>
      </c>
      <c r="F799" t="s">
        <v>327</v>
      </c>
      <c r="G799" t="s">
        <v>327</v>
      </c>
      <c r="H799" t="s">
        <v>327</v>
      </c>
      <c r="I799" t="s">
        <v>2931</v>
      </c>
    </row>
    <row r="800" spans="1:9">
      <c r="A800" s="5" t="s">
        <v>327</v>
      </c>
      <c r="B800" s="5" t="s">
        <v>4776</v>
      </c>
      <c r="C800" t="s">
        <v>4777</v>
      </c>
      <c r="D800" t="s">
        <v>327</v>
      </c>
      <c r="E800" t="s">
        <v>327</v>
      </c>
      <c r="F800" t="s">
        <v>327</v>
      </c>
      <c r="G800" t="s">
        <v>327</v>
      </c>
      <c r="H800" t="s">
        <v>327</v>
      </c>
      <c r="I800" t="s">
        <v>2931</v>
      </c>
    </row>
    <row r="801" spans="1:9">
      <c r="A801" s="5" t="s">
        <v>327</v>
      </c>
      <c r="B801" s="5" t="s">
        <v>4778</v>
      </c>
      <c r="C801" t="s">
        <v>4779</v>
      </c>
      <c r="D801" t="s">
        <v>327</v>
      </c>
      <c r="E801" t="s">
        <v>327</v>
      </c>
      <c r="F801" t="s">
        <v>327</v>
      </c>
      <c r="G801" t="s">
        <v>327</v>
      </c>
      <c r="H801" t="s">
        <v>327</v>
      </c>
      <c r="I801" t="s">
        <v>2931</v>
      </c>
    </row>
    <row r="802" spans="1:9">
      <c r="A802" s="5" t="s">
        <v>327</v>
      </c>
      <c r="B802" s="5" t="s">
        <v>4761</v>
      </c>
      <c r="C802" t="s">
        <v>4780</v>
      </c>
      <c r="D802" t="s">
        <v>327</v>
      </c>
      <c r="E802" t="s">
        <v>327</v>
      </c>
      <c r="F802" t="s">
        <v>327</v>
      </c>
      <c r="G802" t="s">
        <v>327</v>
      </c>
      <c r="H802" t="s">
        <v>327</v>
      </c>
      <c r="I802" t="s">
        <v>2931</v>
      </c>
    </row>
    <row r="803" spans="1:9">
      <c r="A803" s="5" t="s">
        <v>327</v>
      </c>
      <c r="B803" s="5" t="s">
        <v>4781</v>
      </c>
      <c r="C803" t="s">
        <v>4782</v>
      </c>
      <c r="D803" t="s">
        <v>327</v>
      </c>
      <c r="E803" t="s">
        <v>327</v>
      </c>
      <c r="F803" t="s">
        <v>327</v>
      </c>
      <c r="G803" t="s">
        <v>327</v>
      </c>
      <c r="H803" t="s">
        <v>327</v>
      </c>
      <c r="I803" t="s">
        <v>2931</v>
      </c>
    </row>
    <row r="804" spans="1:9">
      <c r="A804" s="5" t="s">
        <v>327</v>
      </c>
      <c r="B804" s="5" t="s">
        <v>4783</v>
      </c>
      <c r="C804" t="s">
        <v>4784</v>
      </c>
      <c r="D804" t="s">
        <v>327</v>
      </c>
      <c r="E804" t="s">
        <v>327</v>
      </c>
      <c r="F804" t="s">
        <v>327</v>
      </c>
      <c r="G804" t="s">
        <v>327</v>
      </c>
      <c r="H804" t="s">
        <v>327</v>
      </c>
      <c r="I804" t="s">
        <v>2931</v>
      </c>
    </row>
    <row r="805" spans="1:9">
      <c r="A805" s="5" t="s">
        <v>327</v>
      </c>
      <c r="B805" s="5" t="s">
        <v>4783</v>
      </c>
      <c r="C805" t="s">
        <v>4785</v>
      </c>
      <c r="D805" t="s">
        <v>327</v>
      </c>
      <c r="E805" t="s">
        <v>327</v>
      </c>
      <c r="F805" t="s">
        <v>327</v>
      </c>
      <c r="G805" t="s">
        <v>327</v>
      </c>
      <c r="H805" t="s">
        <v>327</v>
      </c>
      <c r="I805" t="s">
        <v>2931</v>
      </c>
    </row>
    <row r="806" spans="1:9">
      <c r="A806" s="5" t="s">
        <v>327</v>
      </c>
      <c r="B806" s="5" t="s">
        <v>4754</v>
      </c>
      <c r="C806" t="s">
        <v>4786</v>
      </c>
      <c r="D806" t="s">
        <v>327</v>
      </c>
      <c r="E806" t="s">
        <v>327</v>
      </c>
      <c r="F806" t="s">
        <v>327</v>
      </c>
      <c r="G806" t="s">
        <v>327</v>
      </c>
      <c r="H806" t="s">
        <v>327</v>
      </c>
      <c r="I806" t="s">
        <v>2990</v>
      </c>
    </row>
    <row r="807" spans="1:9">
      <c r="A807" s="5" t="s">
        <v>327</v>
      </c>
      <c r="B807" s="5" t="s">
        <v>4754</v>
      </c>
      <c r="C807" t="s">
        <v>4787</v>
      </c>
      <c r="D807" t="s">
        <v>327</v>
      </c>
      <c r="E807" t="s">
        <v>327</v>
      </c>
      <c r="F807" t="s">
        <v>327</v>
      </c>
      <c r="G807" t="s">
        <v>327</v>
      </c>
      <c r="H807" t="s">
        <v>327</v>
      </c>
      <c r="I807" t="s">
        <v>2990</v>
      </c>
    </row>
    <row r="808" spans="1:9">
      <c r="A808" s="5" t="s">
        <v>327</v>
      </c>
      <c r="B808" s="5" t="s">
        <v>4788</v>
      </c>
      <c r="C808" t="s">
        <v>4789</v>
      </c>
      <c r="D808" t="s">
        <v>327</v>
      </c>
      <c r="E808" t="s">
        <v>327</v>
      </c>
      <c r="F808" t="s">
        <v>327</v>
      </c>
      <c r="G808" t="s">
        <v>327</v>
      </c>
      <c r="H808" t="s">
        <v>327</v>
      </c>
      <c r="I808" t="s">
        <v>2990</v>
      </c>
    </row>
    <row r="809" spans="1:9">
      <c r="A809" s="5" t="s">
        <v>327</v>
      </c>
      <c r="B809" s="5" t="s">
        <v>4790</v>
      </c>
      <c r="C809" t="s">
        <v>4791</v>
      </c>
      <c r="D809" t="s">
        <v>327</v>
      </c>
      <c r="E809" t="s">
        <v>327</v>
      </c>
      <c r="F809" t="s">
        <v>327</v>
      </c>
      <c r="G809" t="s">
        <v>327</v>
      </c>
      <c r="H809" t="s">
        <v>327</v>
      </c>
      <c r="I809" t="s">
        <v>2931</v>
      </c>
    </row>
    <row r="810" spans="1:9">
      <c r="A810" s="5" t="s">
        <v>327</v>
      </c>
      <c r="B810" s="5" t="s">
        <v>4792</v>
      </c>
      <c r="C810" t="s">
        <v>4793</v>
      </c>
      <c r="D810" t="s">
        <v>327</v>
      </c>
      <c r="E810" t="s">
        <v>327</v>
      </c>
      <c r="F810" t="s">
        <v>327</v>
      </c>
      <c r="G810" t="s">
        <v>327</v>
      </c>
      <c r="H810" t="s">
        <v>327</v>
      </c>
      <c r="I810" t="s">
        <v>2931</v>
      </c>
    </row>
    <row r="811" spans="1:9">
      <c r="A811" s="5" t="s">
        <v>327</v>
      </c>
      <c r="B811" s="5" t="s">
        <v>4794</v>
      </c>
      <c r="C811" t="s">
        <v>4795</v>
      </c>
      <c r="D811" t="s">
        <v>327</v>
      </c>
      <c r="E811" t="s">
        <v>327</v>
      </c>
      <c r="F811" t="s">
        <v>327</v>
      </c>
      <c r="G811" t="s">
        <v>327</v>
      </c>
      <c r="H811" t="s">
        <v>327</v>
      </c>
      <c r="I811" t="s">
        <v>2990</v>
      </c>
    </row>
    <row r="812" spans="1:9">
      <c r="A812" s="5" t="s">
        <v>327</v>
      </c>
      <c r="B812" s="5" t="s">
        <v>4796</v>
      </c>
      <c r="C812" t="s">
        <v>4797</v>
      </c>
      <c r="D812" t="s">
        <v>327</v>
      </c>
      <c r="E812" t="s">
        <v>327</v>
      </c>
      <c r="F812" t="s">
        <v>327</v>
      </c>
      <c r="G812" t="s">
        <v>327</v>
      </c>
      <c r="H812" t="s">
        <v>327</v>
      </c>
      <c r="I812" t="s">
        <v>2990</v>
      </c>
    </row>
    <row r="813" spans="1:9">
      <c r="A813" s="5" t="s">
        <v>327</v>
      </c>
      <c r="B813" s="5" t="s">
        <v>4798</v>
      </c>
      <c r="C813" t="s">
        <v>4799</v>
      </c>
      <c r="D813" t="s">
        <v>327</v>
      </c>
      <c r="E813" t="s">
        <v>327</v>
      </c>
      <c r="F813" t="s">
        <v>327</v>
      </c>
      <c r="G813" t="s">
        <v>327</v>
      </c>
      <c r="H813" t="s">
        <v>327</v>
      </c>
      <c r="I813" t="s">
        <v>2990</v>
      </c>
    </row>
    <row r="814" spans="1:9">
      <c r="A814" s="5" t="s">
        <v>327</v>
      </c>
      <c r="B814" s="5" t="s">
        <v>4800</v>
      </c>
      <c r="C814" t="s">
        <v>4801</v>
      </c>
      <c r="D814" t="s">
        <v>327</v>
      </c>
      <c r="E814" t="s">
        <v>327</v>
      </c>
      <c r="F814" t="s">
        <v>327</v>
      </c>
      <c r="G814" t="s">
        <v>327</v>
      </c>
      <c r="H814" t="s">
        <v>327</v>
      </c>
      <c r="I814" t="s">
        <v>2931</v>
      </c>
    </row>
    <row r="815" spans="1:9">
      <c r="A815" s="5" t="s">
        <v>327</v>
      </c>
      <c r="B815" s="5" t="s">
        <v>4802</v>
      </c>
      <c r="C815" t="s">
        <v>4803</v>
      </c>
      <c r="D815" t="s">
        <v>327</v>
      </c>
      <c r="E815" t="s">
        <v>327</v>
      </c>
      <c r="F815" t="s">
        <v>327</v>
      </c>
      <c r="G815" t="s">
        <v>327</v>
      </c>
      <c r="H815" t="s">
        <v>327</v>
      </c>
      <c r="I815" t="s">
        <v>2931</v>
      </c>
    </row>
    <row r="816" spans="1:9">
      <c r="A816" s="5" t="s">
        <v>327</v>
      </c>
      <c r="B816" s="5" t="s">
        <v>4804</v>
      </c>
      <c r="C816" t="s">
        <v>4805</v>
      </c>
      <c r="D816" t="s">
        <v>327</v>
      </c>
      <c r="E816" t="s">
        <v>327</v>
      </c>
      <c r="F816" t="s">
        <v>327</v>
      </c>
      <c r="G816" t="s">
        <v>327</v>
      </c>
      <c r="H816" t="s">
        <v>327</v>
      </c>
      <c r="I816" t="s">
        <v>2990</v>
      </c>
    </row>
    <row r="817" spans="1:9">
      <c r="A817" s="5" t="s">
        <v>327</v>
      </c>
      <c r="B817" s="5" t="s">
        <v>4806</v>
      </c>
      <c r="C817" t="s">
        <v>4807</v>
      </c>
      <c r="D817" t="s">
        <v>327</v>
      </c>
      <c r="E817" t="s">
        <v>327</v>
      </c>
      <c r="F817" t="s">
        <v>327</v>
      </c>
      <c r="G817" t="s">
        <v>327</v>
      </c>
      <c r="H817" t="s">
        <v>327</v>
      </c>
      <c r="I817" t="s">
        <v>2990</v>
      </c>
    </row>
    <row r="818" spans="1:9">
      <c r="A818" s="5" t="s">
        <v>327</v>
      </c>
      <c r="B818" s="5" t="s">
        <v>4804</v>
      </c>
      <c r="C818" t="s">
        <v>4808</v>
      </c>
      <c r="D818" t="s">
        <v>327</v>
      </c>
      <c r="E818" t="s">
        <v>327</v>
      </c>
      <c r="F818" t="s">
        <v>327</v>
      </c>
      <c r="G818" t="s">
        <v>327</v>
      </c>
      <c r="H818" t="s">
        <v>327</v>
      </c>
      <c r="I818" t="s">
        <v>2990</v>
      </c>
    </row>
    <row r="819" spans="1:9">
      <c r="A819" s="5" t="s">
        <v>327</v>
      </c>
      <c r="B819" s="5" t="s">
        <v>4804</v>
      </c>
      <c r="C819" t="s">
        <v>4809</v>
      </c>
      <c r="D819" t="s">
        <v>327</v>
      </c>
      <c r="E819" t="s">
        <v>327</v>
      </c>
      <c r="F819" t="s">
        <v>327</v>
      </c>
      <c r="G819" t="s">
        <v>327</v>
      </c>
      <c r="H819" t="s">
        <v>327</v>
      </c>
      <c r="I819" t="s">
        <v>2990</v>
      </c>
    </row>
    <row r="820" spans="1:9">
      <c r="A820" s="5" t="s">
        <v>327</v>
      </c>
      <c r="B820" s="5" t="s">
        <v>4804</v>
      </c>
      <c r="C820" t="s">
        <v>4810</v>
      </c>
      <c r="D820" t="s">
        <v>327</v>
      </c>
      <c r="E820" t="s">
        <v>327</v>
      </c>
      <c r="F820" t="s">
        <v>327</v>
      </c>
      <c r="G820" t="s">
        <v>327</v>
      </c>
      <c r="H820" t="s">
        <v>327</v>
      </c>
      <c r="I820" t="s">
        <v>2990</v>
      </c>
    </row>
    <row r="821" spans="1:9">
      <c r="A821" s="5" t="s">
        <v>327</v>
      </c>
      <c r="B821" s="5" t="s">
        <v>4804</v>
      </c>
      <c r="C821" t="s">
        <v>4811</v>
      </c>
      <c r="D821" t="s">
        <v>327</v>
      </c>
      <c r="E821" t="s">
        <v>327</v>
      </c>
      <c r="F821" t="s">
        <v>327</v>
      </c>
      <c r="G821" t="s">
        <v>327</v>
      </c>
      <c r="H821" t="s">
        <v>327</v>
      </c>
      <c r="I821" t="s">
        <v>2990</v>
      </c>
    </row>
    <row r="822" spans="1:9">
      <c r="A822" s="5" t="s">
        <v>327</v>
      </c>
      <c r="B822" s="5" t="s">
        <v>4804</v>
      </c>
      <c r="C822" t="s">
        <v>4812</v>
      </c>
      <c r="D822" t="s">
        <v>327</v>
      </c>
      <c r="E822" t="s">
        <v>327</v>
      </c>
      <c r="F822" t="s">
        <v>327</v>
      </c>
      <c r="G822" t="s">
        <v>327</v>
      </c>
      <c r="H822" t="s">
        <v>327</v>
      </c>
      <c r="I822" t="s">
        <v>2990</v>
      </c>
    </row>
    <row r="823" spans="1:9">
      <c r="A823" s="5" t="s">
        <v>327</v>
      </c>
      <c r="B823" s="5" t="s">
        <v>4813</v>
      </c>
      <c r="C823" t="s">
        <v>4814</v>
      </c>
      <c r="D823" t="s">
        <v>327</v>
      </c>
      <c r="E823" t="s">
        <v>327</v>
      </c>
      <c r="F823" t="s">
        <v>327</v>
      </c>
      <c r="G823" t="s">
        <v>327</v>
      </c>
      <c r="H823" t="s">
        <v>327</v>
      </c>
      <c r="I823" t="s">
        <v>2990</v>
      </c>
    </row>
    <row r="824" spans="1:9">
      <c r="A824" s="5" t="s">
        <v>327</v>
      </c>
      <c r="B824" s="5" t="s">
        <v>4804</v>
      </c>
      <c r="C824" t="s">
        <v>4815</v>
      </c>
      <c r="D824" t="s">
        <v>327</v>
      </c>
      <c r="E824" t="s">
        <v>327</v>
      </c>
      <c r="F824" t="s">
        <v>327</v>
      </c>
      <c r="G824" t="s">
        <v>327</v>
      </c>
      <c r="H824" t="s">
        <v>327</v>
      </c>
      <c r="I824" t="s">
        <v>2990</v>
      </c>
    </row>
    <row r="825" spans="1:9">
      <c r="A825" s="5" t="s">
        <v>327</v>
      </c>
      <c r="B825" s="5" t="s">
        <v>4816</v>
      </c>
      <c r="C825" t="s">
        <v>4817</v>
      </c>
      <c r="D825" t="s">
        <v>327</v>
      </c>
      <c r="E825" t="s">
        <v>327</v>
      </c>
      <c r="F825" t="s">
        <v>327</v>
      </c>
      <c r="G825" t="s">
        <v>327</v>
      </c>
      <c r="H825" t="s">
        <v>327</v>
      </c>
      <c r="I825" t="s">
        <v>2931</v>
      </c>
    </row>
    <row r="826" spans="1:9">
      <c r="A826" s="5" t="s">
        <v>327</v>
      </c>
      <c r="B826" s="5" t="s">
        <v>4818</v>
      </c>
      <c r="C826" t="s">
        <v>4819</v>
      </c>
      <c r="D826" t="s">
        <v>327</v>
      </c>
      <c r="E826" t="s">
        <v>327</v>
      </c>
      <c r="F826" t="s">
        <v>327</v>
      </c>
      <c r="G826" t="s">
        <v>327</v>
      </c>
      <c r="H826" t="s">
        <v>327</v>
      </c>
      <c r="I826" t="s">
        <v>2931</v>
      </c>
    </row>
    <row r="827" spans="1:9">
      <c r="A827" s="5" t="s">
        <v>327</v>
      </c>
      <c r="B827" s="5" t="s">
        <v>4820</v>
      </c>
      <c r="C827" t="s">
        <v>4821</v>
      </c>
      <c r="D827" t="s">
        <v>327</v>
      </c>
      <c r="E827" t="s">
        <v>327</v>
      </c>
      <c r="F827" t="s">
        <v>327</v>
      </c>
      <c r="G827" t="s">
        <v>327</v>
      </c>
      <c r="H827" t="s">
        <v>327</v>
      </c>
      <c r="I827" t="s">
        <v>2931</v>
      </c>
    </row>
    <row r="828" spans="1:9">
      <c r="A828" s="5" t="s">
        <v>327</v>
      </c>
      <c r="B828" s="5" t="s">
        <v>4822</v>
      </c>
      <c r="C828" t="s">
        <v>4823</v>
      </c>
      <c r="D828" t="s">
        <v>327</v>
      </c>
      <c r="E828" t="s">
        <v>327</v>
      </c>
      <c r="F828" t="s">
        <v>327</v>
      </c>
      <c r="G828" t="s">
        <v>327</v>
      </c>
      <c r="H828" t="s">
        <v>327</v>
      </c>
      <c r="I828" t="s">
        <v>2931</v>
      </c>
    </row>
    <row r="829" spans="1:9">
      <c r="A829" s="5" t="s">
        <v>327</v>
      </c>
      <c r="B829" s="5" t="s">
        <v>4824</v>
      </c>
      <c r="C829" t="s">
        <v>4825</v>
      </c>
      <c r="D829" t="s">
        <v>327</v>
      </c>
      <c r="E829" t="s">
        <v>327</v>
      </c>
      <c r="F829" t="s">
        <v>327</v>
      </c>
      <c r="G829" t="s">
        <v>327</v>
      </c>
      <c r="H829" t="s">
        <v>327</v>
      </c>
      <c r="I829" t="s">
        <v>2931</v>
      </c>
    </row>
    <row r="830" spans="1:9">
      <c r="A830" s="5" t="s">
        <v>327</v>
      </c>
      <c r="B830" s="5" t="s">
        <v>4804</v>
      </c>
      <c r="C830" t="s">
        <v>4826</v>
      </c>
      <c r="D830" t="s">
        <v>327</v>
      </c>
      <c r="E830" t="s">
        <v>327</v>
      </c>
      <c r="F830" t="s">
        <v>327</v>
      </c>
      <c r="G830" t="s">
        <v>327</v>
      </c>
      <c r="H830" t="s">
        <v>327</v>
      </c>
      <c r="I830" t="s">
        <v>2990</v>
      </c>
    </row>
    <row r="831" spans="1:9">
      <c r="A831" s="5" t="s">
        <v>327</v>
      </c>
      <c r="B831" s="5" t="s">
        <v>4827</v>
      </c>
      <c r="C831" t="s">
        <v>4828</v>
      </c>
      <c r="D831" t="s">
        <v>327</v>
      </c>
      <c r="E831" t="s">
        <v>327</v>
      </c>
      <c r="F831" t="s">
        <v>327</v>
      </c>
      <c r="G831" t="s">
        <v>327</v>
      </c>
      <c r="H831" t="s">
        <v>327</v>
      </c>
      <c r="I831" t="s">
        <v>2931</v>
      </c>
    </row>
    <row r="832" spans="1:9">
      <c r="A832" s="5" t="s">
        <v>327</v>
      </c>
      <c r="B832" s="5" t="s">
        <v>4829</v>
      </c>
      <c r="C832" t="s">
        <v>4830</v>
      </c>
      <c r="D832" t="s">
        <v>327</v>
      </c>
      <c r="E832" t="s">
        <v>327</v>
      </c>
      <c r="F832" t="s">
        <v>327</v>
      </c>
      <c r="G832" t="s">
        <v>327</v>
      </c>
      <c r="H832" t="s">
        <v>327</v>
      </c>
      <c r="I832" t="s">
        <v>2931</v>
      </c>
    </row>
    <row r="833" spans="1:9">
      <c r="A833" s="5" t="s">
        <v>327</v>
      </c>
      <c r="B833" s="5" t="s">
        <v>4831</v>
      </c>
      <c r="C833" t="s">
        <v>4832</v>
      </c>
      <c r="D833" t="s">
        <v>327</v>
      </c>
      <c r="E833" t="s">
        <v>327</v>
      </c>
      <c r="F833" t="s">
        <v>327</v>
      </c>
      <c r="G833" t="s">
        <v>327</v>
      </c>
      <c r="H833" t="s">
        <v>327</v>
      </c>
      <c r="I833" t="s">
        <v>2931</v>
      </c>
    </row>
    <row r="834" spans="1:9">
      <c r="A834" s="5" t="s">
        <v>327</v>
      </c>
      <c r="B834" s="5" t="s">
        <v>4833</v>
      </c>
      <c r="C834" t="s">
        <v>4834</v>
      </c>
      <c r="D834" t="s">
        <v>327</v>
      </c>
      <c r="E834" t="s">
        <v>327</v>
      </c>
      <c r="F834" t="s">
        <v>327</v>
      </c>
      <c r="G834" t="s">
        <v>327</v>
      </c>
      <c r="H834" t="s">
        <v>327</v>
      </c>
      <c r="I834" t="s">
        <v>2931</v>
      </c>
    </row>
    <row r="835" spans="1:9">
      <c r="A835" s="5" t="s">
        <v>327</v>
      </c>
      <c r="B835" s="5" t="s">
        <v>4835</v>
      </c>
      <c r="C835" t="s">
        <v>4836</v>
      </c>
      <c r="D835" t="s">
        <v>327</v>
      </c>
      <c r="E835" t="s">
        <v>327</v>
      </c>
      <c r="F835" t="s">
        <v>327</v>
      </c>
      <c r="G835" t="s">
        <v>327</v>
      </c>
      <c r="H835" t="s">
        <v>327</v>
      </c>
      <c r="I835" t="s">
        <v>2931</v>
      </c>
    </row>
    <row r="836" spans="1:9">
      <c r="A836" s="5" t="s">
        <v>327</v>
      </c>
      <c r="B836" s="5" t="s">
        <v>4837</v>
      </c>
      <c r="C836" t="s">
        <v>4838</v>
      </c>
      <c r="D836" t="s">
        <v>327</v>
      </c>
      <c r="E836" t="s">
        <v>327</v>
      </c>
      <c r="F836" t="s">
        <v>327</v>
      </c>
      <c r="G836" t="s">
        <v>327</v>
      </c>
      <c r="H836" t="s">
        <v>327</v>
      </c>
      <c r="I836" t="s">
        <v>2931</v>
      </c>
    </row>
    <row r="837" spans="1:9">
      <c r="A837" s="5" t="s">
        <v>327</v>
      </c>
      <c r="B837" s="5" t="s">
        <v>4839</v>
      </c>
      <c r="C837" t="s">
        <v>4840</v>
      </c>
      <c r="D837" t="s">
        <v>327</v>
      </c>
      <c r="E837" t="s">
        <v>327</v>
      </c>
      <c r="F837" t="s">
        <v>327</v>
      </c>
      <c r="G837" t="s">
        <v>327</v>
      </c>
      <c r="H837" t="s">
        <v>327</v>
      </c>
      <c r="I837" t="s">
        <v>2931</v>
      </c>
    </row>
    <row r="838" spans="1:9">
      <c r="A838" s="5" t="s">
        <v>327</v>
      </c>
      <c r="B838" s="5" t="s">
        <v>4841</v>
      </c>
      <c r="C838" t="s">
        <v>4842</v>
      </c>
      <c r="D838" t="s">
        <v>327</v>
      </c>
      <c r="E838" t="s">
        <v>327</v>
      </c>
      <c r="F838" t="s">
        <v>327</v>
      </c>
      <c r="G838" t="s">
        <v>327</v>
      </c>
      <c r="H838" t="s">
        <v>327</v>
      </c>
      <c r="I838" t="s">
        <v>2931</v>
      </c>
    </row>
    <row r="839" spans="1:9">
      <c r="A839" s="5" t="s">
        <v>327</v>
      </c>
      <c r="B839" s="5" t="s">
        <v>4843</v>
      </c>
      <c r="C839" t="s">
        <v>4844</v>
      </c>
      <c r="D839" t="s">
        <v>327</v>
      </c>
      <c r="E839" t="s">
        <v>327</v>
      </c>
      <c r="F839" t="s">
        <v>327</v>
      </c>
      <c r="G839" t="s">
        <v>327</v>
      </c>
      <c r="H839" t="s">
        <v>327</v>
      </c>
      <c r="I839" t="s">
        <v>2931</v>
      </c>
    </row>
    <row r="840" spans="1:9">
      <c r="A840" s="5" t="s">
        <v>327</v>
      </c>
      <c r="B840" s="5" t="s">
        <v>4845</v>
      </c>
      <c r="C840" t="s">
        <v>4846</v>
      </c>
      <c r="D840" t="s">
        <v>327</v>
      </c>
      <c r="E840" t="s">
        <v>327</v>
      </c>
      <c r="F840" t="s">
        <v>327</v>
      </c>
      <c r="G840" t="s">
        <v>327</v>
      </c>
      <c r="H840" t="s">
        <v>327</v>
      </c>
      <c r="I840" t="s">
        <v>2931</v>
      </c>
    </row>
    <row r="841" spans="1:9">
      <c r="A841" s="5" t="s">
        <v>327</v>
      </c>
      <c r="B841" s="5" t="s">
        <v>4847</v>
      </c>
      <c r="C841" t="s">
        <v>4848</v>
      </c>
      <c r="D841" t="s">
        <v>327</v>
      </c>
      <c r="E841" t="s">
        <v>327</v>
      </c>
      <c r="F841" t="s">
        <v>327</v>
      </c>
      <c r="G841" t="s">
        <v>327</v>
      </c>
      <c r="H841" t="s">
        <v>327</v>
      </c>
      <c r="I841" t="s">
        <v>2931</v>
      </c>
    </row>
    <row r="842" spans="1:9">
      <c r="A842" s="5" t="s">
        <v>327</v>
      </c>
      <c r="B842" s="5" t="s">
        <v>4849</v>
      </c>
      <c r="C842" t="s">
        <v>4850</v>
      </c>
      <c r="D842" t="s">
        <v>327</v>
      </c>
      <c r="E842" t="s">
        <v>327</v>
      </c>
      <c r="F842" t="s">
        <v>327</v>
      </c>
      <c r="G842" t="s">
        <v>327</v>
      </c>
      <c r="H842" t="s">
        <v>327</v>
      </c>
      <c r="I842" t="s">
        <v>2931</v>
      </c>
    </row>
    <row r="843" spans="1:9">
      <c r="A843" s="5" t="s">
        <v>327</v>
      </c>
      <c r="B843" s="5" t="s">
        <v>4851</v>
      </c>
      <c r="C843" t="s">
        <v>4852</v>
      </c>
      <c r="D843" t="s">
        <v>327</v>
      </c>
      <c r="E843" t="s">
        <v>327</v>
      </c>
      <c r="F843" t="s">
        <v>327</v>
      </c>
      <c r="G843" t="s">
        <v>327</v>
      </c>
      <c r="H843" t="s">
        <v>327</v>
      </c>
      <c r="I843" t="s">
        <v>2931</v>
      </c>
    </row>
    <row r="844" spans="1:9">
      <c r="A844" s="5" t="s">
        <v>327</v>
      </c>
      <c r="B844" s="5" t="s">
        <v>4853</v>
      </c>
      <c r="C844" t="s">
        <v>4854</v>
      </c>
      <c r="D844" t="s">
        <v>327</v>
      </c>
      <c r="E844" t="s">
        <v>327</v>
      </c>
      <c r="F844" t="s">
        <v>327</v>
      </c>
      <c r="G844" t="s">
        <v>327</v>
      </c>
      <c r="H844" t="s">
        <v>327</v>
      </c>
      <c r="I844" t="s">
        <v>2931</v>
      </c>
    </row>
    <row r="845" spans="1:9">
      <c r="A845" s="5" t="s">
        <v>327</v>
      </c>
      <c r="B845" s="5" t="s">
        <v>4855</v>
      </c>
      <c r="C845" t="s">
        <v>4856</v>
      </c>
      <c r="D845" t="s">
        <v>327</v>
      </c>
      <c r="E845" t="s">
        <v>327</v>
      </c>
      <c r="F845" t="s">
        <v>327</v>
      </c>
      <c r="G845" t="s">
        <v>327</v>
      </c>
      <c r="H845" t="s">
        <v>327</v>
      </c>
      <c r="I845" t="s">
        <v>2990</v>
      </c>
    </row>
    <row r="846" spans="1:9">
      <c r="A846" s="5" t="s">
        <v>327</v>
      </c>
      <c r="B846" s="5" t="s">
        <v>4857</v>
      </c>
      <c r="C846" t="s">
        <v>4858</v>
      </c>
      <c r="D846" t="s">
        <v>327</v>
      </c>
      <c r="E846" t="s">
        <v>327</v>
      </c>
      <c r="F846" t="s">
        <v>327</v>
      </c>
      <c r="G846" t="s">
        <v>327</v>
      </c>
      <c r="H846" t="s">
        <v>327</v>
      </c>
      <c r="I846" t="s">
        <v>2990</v>
      </c>
    </row>
    <row r="847" spans="1:9">
      <c r="A847" s="5" t="s">
        <v>327</v>
      </c>
      <c r="B847" s="5" t="s">
        <v>4859</v>
      </c>
      <c r="C847" t="s">
        <v>4860</v>
      </c>
      <c r="D847" t="s">
        <v>327</v>
      </c>
      <c r="E847" t="s">
        <v>327</v>
      </c>
      <c r="F847" t="s">
        <v>327</v>
      </c>
      <c r="G847" t="s">
        <v>327</v>
      </c>
      <c r="H847" t="s">
        <v>327</v>
      </c>
      <c r="I847" t="s">
        <v>2931</v>
      </c>
    </row>
    <row r="848" spans="1:9">
      <c r="A848" s="5" t="s">
        <v>327</v>
      </c>
      <c r="B848" s="5" t="s">
        <v>4861</v>
      </c>
      <c r="C848" t="s">
        <v>4862</v>
      </c>
      <c r="D848" t="s">
        <v>327</v>
      </c>
      <c r="E848" t="s">
        <v>327</v>
      </c>
      <c r="F848" t="s">
        <v>327</v>
      </c>
      <c r="G848" t="s">
        <v>327</v>
      </c>
      <c r="H848" t="s">
        <v>327</v>
      </c>
      <c r="I848" t="s">
        <v>2931</v>
      </c>
    </row>
    <row r="849" spans="1:9">
      <c r="A849" s="5" t="s">
        <v>327</v>
      </c>
      <c r="B849" s="5" t="s">
        <v>4863</v>
      </c>
      <c r="C849" t="s">
        <v>4864</v>
      </c>
      <c r="D849" t="s">
        <v>327</v>
      </c>
      <c r="E849" t="s">
        <v>327</v>
      </c>
      <c r="F849" t="s">
        <v>327</v>
      </c>
      <c r="G849" t="s">
        <v>327</v>
      </c>
      <c r="H849" t="s">
        <v>327</v>
      </c>
      <c r="I849" t="s">
        <v>2990</v>
      </c>
    </row>
    <row r="850" spans="1:9">
      <c r="A850" s="5" t="s">
        <v>327</v>
      </c>
      <c r="B850" s="5" t="s">
        <v>4865</v>
      </c>
      <c r="C850" t="s">
        <v>4866</v>
      </c>
      <c r="D850" t="s">
        <v>327</v>
      </c>
      <c r="E850" t="s">
        <v>327</v>
      </c>
      <c r="F850" t="s">
        <v>327</v>
      </c>
      <c r="G850" t="s">
        <v>327</v>
      </c>
      <c r="H850" t="s">
        <v>327</v>
      </c>
      <c r="I850" t="s">
        <v>2990</v>
      </c>
    </row>
    <row r="851" spans="1:9">
      <c r="A851" s="5" t="s">
        <v>327</v>
      </c>
      <c r="B851" s="5" t="s">
        <v>4867</v>
      </c>
      <c r="C851" t="s">
        <v>4868</v>
      </c>
      <c r="D851" t="s">
        <v>327</v>
      </c>
      <c r="E851" t="s">
        <v>327</v>
      </c>
      <c r="F851" t="s">
        <v>327</v>
      </c>
      <c r="G851" t="s">
        <v>327</v>
      </c>
      <c r="H851" t="s">
        <v>327</v>
      </c>
      <c r="I851" t="s">
        <v>2990</v>
      </c>
    </row>
    <row r="852" spans="1:9">
      <c r="A852" s="5" t="s">
        <v>327</v>
      </c>
      <c r="B852" s="5" t="s">
        <v>4869</v>
      </c>
      <c r="C852" t="s">
        <v>4870</v>
      </c>
      <c r="D852" t="s">
        <v>327</v>
      </c>
      <c r="E852" t="s">
        <v>327</v>
      </c>
      <c r="F852" t="s">
        <v>327</v>
      </c>
      <c r="G852" t="s">
        <v>327</v>
      </c>
      <c r="H852" t="s">
        <v>327</v>
      </c>
      <c r="I852" t="s">
        <v>2990</v>
      </c>
    </row>
    <row r="853" spans="1:9">
      <c r="A853" s="5" t="s">
        <v>327</v>
      </c>
      <c r="B853" s="5" t="s">
        <v>4871</v>
      </c>
      <c r="C853" t="s">
        <v>4872</v>
      </c>
      <c r="D853" t="s">
        <v>327</v>
      </c>
      <c r="E853" t="s">
        <v>327</v>
      </c>
      <c r="F853" t="s">
        <v>327</v>
      </c>
      <c r="G853" t="s">
        <v>327</v>
      </c>
      <c r="H853" t="s">
        <v>327</v>
      </c>
      <c r="I853" t="s">
        <v>2931</v>
      </c>
    </row>
    <row r="854" spans="1:9">
      <c r="A854" s="5" t="s">
        <v>327</v>
      </c>
      <c r="B854" s="5" t="s">
        <v>4873</v>
      </c>
      <c r="C854" t="s">
        <v>4874</v>
      </c>
      <c r="D854" t="s">
        <v>327</v>
      </c>
      <c r="E854" t="s">
        <v>327</v>
      </c>
      <c r="F854" t="s">
        <v>327</v>
      </c>
      <c r="G854" t="s">
        <v>327</v>
      </c>
      <c r="H854" t="s">
        <v>327</v>
      </c>
      <c r="I854" t="s">
        <v>2931</v>
      </c>
    </row>
    <row r="855" spans="1:9">
      <c r="A855" s="5" t="s">
        <v>327</v>
      </c>
      <c r="B855" s="5" t="s">
        <v>4875</v>
      </c>
      <c r="C855" t="s">
        <v>4876</v>
      </c>
      <c r="D855" t="s">
        <v>327</v>
      </c>
      <c r="E855" t="s">
        <v>327</v>
      </c>
      <c r="F855" t="s">
        <v>327</v>
      </c>
      <c r="G855" t="s">
        <v>327</v>
      </c>
      <c r="H855" t="s">
        <v>327</v>
      </c>
      <c r="I855" t="s">
        <v>2990</v>
      </c>
    </row>
    <row r="856" spans="1:9">
      <c r="A856" s="5" t="s">
        <v>327</v>
      </c>
      <c r="B856" s="5" t="s">
        <v>4877</v>
      </c>
      <c r="C856" t="s">
        <v>4878</v>
      </c>
      <c r="D856" t="s">
        <v>327</v>
      </c>
      <c r="E856" t="s">
        <v>327</v>
      </c>
      <c r="F856" t="s">
        <v>327</v>
      </c>
      <c r="G856" t="s">
        <v>327</v>
      </c>
      <c r="H856" t="s">
        <v>327</v>
      </c>
      <c r="I856" t="s">
        <v>2990</v>
      </c>
    </row>
    <row r="857" spans="1:9">
      <c r="A857" s="5" t="s">
        <v>327</v>
      </c>
      <c r="B857" s="5" t="s">
        <v>4879</v>
      </c>
      <c r="C857" t="s">
        <v>4880</v>
      </c>
      <c r="D857" t="s">
        <v>327</v>
      </c>
      <c r="E857" t="s">
        <v>327</v>
      </c>
      <c r="F857" t="s">
        <v>327</v>
      </c>
      <c r="G857" t="s">
        <v>327</v>
      </c>
      <c r="H857" t="s">
        <v>327</v>
      </c>
      <c r="I857" t="s">
        <v>2931</v>
      </c>
    </row>
    <row r="858" spans="1:9">
      <c r="A858" s="5" t="s">
        <v>327</v>
      </c>
      <c r="B858" s="5" t="s">
        <v>4881</v>
      </c>
      <c r="C858" t="s">
        <v>4882</v>
      </c>
      <c r="D858" t="s">
        <v>327</v>
      </c>
      <c r="E858" t="s">
        <v>327</v>
      </c>
      <c r="F858" t="s">
        <v>327</v>
      </c>
      <c r="G858" t="s">
        <v>327</v>
      </c>
      <c r="H858" t="s">
        <v>327</v>
      </c>
      <c r="I858" t="s">
        <v>2931</v>
      </c>
    </row>
    <row r="859" spans="1:9">
      <c r="A859" s="5" t="s">
        <v>327</v>
      </c>
      <c r="B859" s="5" t="s">
        <v>4883</v>
      </c>
      <c r="C859" t="s">
        <v>4884</v>
      </c>
      <c r="D859" t="s">
        <v>327</v>
      </c>
      <c r="E859" t="s">
        <v>327</v>
      </c>
      <c r="F859" t="s">
        <v>327</v>
      </c>
      <c r="G859" t="s">
        <v>327</v>
      </c>
      <c r="H859" t="s">
        <v>327</v>
      </c>
      <c r="I859" t="s">
        <v>2931</v>
      </c>
    </row>
    <row r="860" spans="1:9">
      <c r="A860" s="5" t="s">
        <v>327</v>
      </c>
      <c r="B860" s="5" t="s">
        <v>4885</v>
      </c>
      <c r="C860" t="s">
        <v>4886</v>
      </c>
      <c r="D860" t="s">
        <v>327</v>
      </c>
      <c r="E860" t="s">
        <v>327</v>
      </c>
      <c r="F860" t="s">
        <v>327</v>
      </c>
      <c r="G860" t="s">
        <v>327</v>
      </c>
      <c r="H860" t="s">
        <v>327</v>
      </c>
      <c r="I860" t="s">
        <v>4887</v>
      </c>
    </row>
    <row r="861" spans="1:9">
      <c r="A861" s="5" t="s">
        <v>327</v>
      </c>
      <c r="B861" s="5" t="s">
        <v>4888</v>
      </c>
      <c r="C861" t="s">
        <v>4889</v>
      </c>
      <c r="D861" t="s">
        <v>327</v>
      </c>
      <c r="E861" t="s">
        <v>327</v>
      </c>
      <c r="F861" t="s">
        <v>327</v>
      </c>
      <c r="G861" t="s">
        <v>327</v>
      </c>
      <c r="H861" t="s">
        <v>327</v>
      </c>
      <c r="I861" t="s">
        <v>2931</v>
      </c>
    </row>
    <row r="862" spans="1:9">
      <c r="A862" s="5" t="s">
        <v>327</v>
      </c>
      <c r="B862" s="5" t="s">
        <v>4890</v>
      </c>
      <c r="C862" t="s">
        <v>4891</v>
      </c>
      <c r="D862" t="s">
        <v>327</v>
      </c>
      <c r="E862" t="s">
        <v>327</v>
      </c>
      <c r="F862" t="s">
        <v>327</v>
      </c>
      <c r="G862" t="s">
        <v>327</v>
      </c>
      <c r="H862" t="s">
        <v>327</v>
      </c>
      <c r="I862" t="s">
        <v>2990</v>
      </c>
    </row>
    <row r="863" spans="1:9">
      <c r="A863" s="5" t="s">
        <v>327</v>
      </c>
      <c r="B863" s="5" t="s">
        <v>4892</v>
      </c>
      <c r="C863" t="s">
        <v>4893</v>
      </c>
      <c r="D863" t="s">
        <v>327</v>
      </c>
      <c r="E863" t="s">
        <v>327</v>
      </c>
      <c r="F863" t="s">
        <v>327</v>
      </c>
      <c r="G863" t="s">
        <v>327</v>
      </c>
      <c r="H863" t="s">
        <v>327</v>
      </c>
      <c r="I863" t="s">
        <v>2990</v>
      </c>
    </row>
    <row r="864" spans="1:9">
      <c r="A864" s="5" t="s">
        <v>327</v>
      </c>
      <c r="B864" s="5" t="s">
        <v>4894</v>
      </c>
      <c r="C864" t="s">
        <v>4895</v>
      </c>
      <c r="D864" t="s">
        <v>327</v>
      </c>
      <c r="E864" t="s">
        <v>327</v>
      </c>
      <c r="F864" t="s">
        <v>327</v>
      </c>
      <c r="G864" t="s">
        <v>327</v>
      </c>
      <c r="H864" t="s">
        <v>327</v>
      </c>
      <c r="I864" t="s">
        <v>2990</v>
      </c>
    </row>
    <row r="865" spans="1:9">
      <c r="A865" s="5" t="s">
        <v>327</v>
      </c>
      <c r="B865" s="5" t="s">
        <v>4489</v>
      </c>
      <c r="C865" t="s">
        <v>4896</v>
      </c>
      <c r="D865" t="s">
        <v>327</v>
      </c>
      <c r="E865" t="s">
        <v>327</v>
      </c>
      <c r="F865" t="s">
        <v>327</v>
      </c>
      <c r="G865" t="s">
        <v>327</v>
      </c>
      <c r="H865" t="s">
        <v>327</v>
      </c>
      <c r="I865" t="s">
        <v>2931</v>
      </c>
    </row>
    <row r="866" spans="1:9">
      <c r="A866" s="5" t="s">
        <v>327</v>
      </c>
      <c r="B866" s="5" t="s">
        <v>4897</v>
      </c>
      <c r="C866" t="s">
        <v>4898</v>
      </c>
      <c r="D866" t="s">
        <v>327</v>
      </c>
      <c r="E866" t="s">
        <v>327</v>
      </c>
      <c r="F866" t="s">
        <v>327</v>
      </c>
      <c r="G866" t="s">
        <v>327</v>
      </c>
      <c r="H866" t="s">
        <v>327</v>
      </c>
      <c r="I866" t="s">
        <v>2931</v>
      </c>
    </row>
    <row r="867" spans="1:9">
      <c r="A867" s="5" t="s">
        <v>327</v>
      </c>
      <c r="B867" s="5" t="s">
        <v>4899</v>
      </c>
      <c r="C867" t="s">
        <v>4900</v>
      </c>
      <c r="D867" t="s">
        <v>327</v>
      </c>
      <c r="E867" t="s">
        <v>327</v>
      </c>
      <c r="F867" t="s">
        <v>327</v>
      </c>
      <c r="G867" t="s">
        <v>327</v>
      </c>
      <c r="H867" t="s">
        <v>327</v>
      </c>
      <c r="I867" t="s">
        <v>2990</v>
      </c>
    </row>
    <row r="868" spans="1:9">
      <c r="A868" s="5" t="s">
        <v>327</v>
      </c>
      <c r="B868" s="5" t="s">
        <v>4901</v>
      </c>
      <c r="C868" t="s">
        <v>4902</v>
      </c>
      <c r="D868" t="s">
        <v>327</v>
      </c>
      <c r="E868" t="s">
        <v>327</v>
      </c>
      <c r="F868" t="s">
        <v>327</v>
      </c>
      <c r="G868" t="s">
        <v>327</v>
      </c>
      <c r="H868" t="s">
        <v>327</v>
      </c>
      <c r="I868" t="s">
        <v>2990</v>
      </c>
    </row>
    <row r="869" spans="1:9">
      <c r="A869" s="5" t="s">
        <v>327</v>
      </c>
      <c r="B869" s="5" t="s">
        <v>4903</v>
      </c>
      <c r="C869" t="s">
        <v>4904</v>
      </c>
      <c r="D869" t="s">
        <v>327</v>
      </c>
      <c r="E869" t="s">
        <v>327</v>
      </c>
      <c r="F869" t="s">
        <v>327</v>
      </c>
      <c r="G869" t="s">
        <v>327</v>
      </c>
      <c r="H869" t="s">
        <v>327</v>
      </c>
      <c r="I869" t="s">
        <v>2990</v>
      </c>
    </row>
    <row r="870" spans="1:9">
      <c r="A870" s="5" t="s">
        <v>327</v>
      </c>
      <c r="B870" s="5" t="s">
        <v>4905</v>
      </c>
      <c r="C870" t="s">
        <v>4906</v>
      </c>
      <c r="D870" t="s">
        <v>327</v>
      </c>
      <c r="E870" t="s">
        <v>327</v>
      </c>
      <c r="F870" t="s">
        <v>327</v>
      </c>
      <c r="G870" t="s">
        <v>327</v>
      </c>
      <c r="H870" t="s">
        <v>327</v>
      </c>
      <c r="I870" t="s">
        <v>2990</v>
      </c>
    </row>
    <row r="871" spans="1:9">
      <c r="A871" s="5" t="s">
        <v>327</v>
      </c>
      <c r="B871" s="5" t="s">
        <v>4907</v>
      </c>
      <c r="C871" t="s">
        <v>4908</v>
      </c>
      <c r="D871" t="s">
        <v>327</v>
      </c>
      <c r="E871" t="s">
        <v>327</v>
      </c>
      <c r="F871" t="s">
        <v>327</v>
      </c>
      <c r="G871" t="s">
        <v>327</v>
      </c>
      <c r="H871" t="s">
        <v>327</v>
      </c>
      <c r="I871" t="s">
        <v>2931</v>
      </c>
    </row>
    <row r="872" spans="1:9">
      <c r="A872" s="5" t="s">
        <v>327</v>
      </c>
      <c r="B872" s="5" t="s">
        <v>4909</v>
      </c>
      <c r="C872" t="s">
        <v>4910</v>
      </c>
      <c r="D872" t="s">
        <v>327</v>
      </c>
      <c r="E872" t="s">
        <v>327</v>
      </c>
      <c r="F872" t="s">
        <v>327</v>
      </c>
      <c r="G872" t="s">
        <v>327</v>
      </c>
      <c r="H872" t="s">
        <v>327</v>
      </c>
      <c r="I872" t="s">
        <v>2931</v>
      </c>
    </row>
    <row r="873" spans="1:9">
      <c r="A873" s="5" t="s">
        <v>327</v>
      </c>
      <c r="B873" s="5" t="s">
        <v>4911</v>
      </c>
      <c r="C873" t="s">
        <v>4912</v>
      </c>
      <c r="D873" t="s">
        <v>327</v>
      </c>
      <c r="E873" t="s">
        <v>327</v>
      </c>
      <c r="F873" t="s">
        <v>327</v>
      </c>
      <c r="G873" t="s">
        <v>327</v>
      </c>
      <c r="H873" t="s">
        <v>327</v>
      </c>
      <c r="I873" t="s">
        <v>2931</v>
      </c>
    </row>
    <row r="874" spans="1:9">
      <c r="A874" s="5" t="s">
        <v>327</v>
      </c>
      <c r="B874" s="5" t="s">
        <v>4913</v>
      </c>
      <c r="C874" t="s">
        <v>4914</v>
      </c>
      <c r="D874" t="s">
        <v>327</v>
      </c>
      <c r="E874" t="s">
        <v>327</v>
      </c>
      <c r="F874" t="s">
        <v>327</v>
      </c>
      <c r="G874" t="s">
        <v>327</v>
      </c>
      <c r="H874" t="s">
        <v>327</v>
      </c>
      <c r="I874" t="s">
        <v>4373</v>
      </c>
    </row>
    <row r="875" spans="1:9">
      <c r="A875" s="5" t="s">
        <v>327</v>
      </c>
      <c r="B875" s="5" t="s">
        <v>4915</v>
      </c>
      <c r="C875" t="s">
        <v>4916</v>
      </c>
      <c r="D875" t="s">
        <v>327</v>
      </c>
      <c r="E875" t="s">
        <v>327</v>
      </c>
      <c r="F875" t="s">
        <v>327</v>
      </c>
      <c r="G875" t="s">
        <v>327</v>
      </c>
      <c r="H875" t="s">
        <v>327</v>
      </c>
      <c r="I875" t="s">
        <v>2931</v>
      </c>
    </row>
    <row r="876" spans="1:9">
      <c r="A876" s="5" t="s">
        <v>327</v>
      </c>
      <c r="B876" s="5" t="s">
        <v>4917</v>
      </c>
      <c r="C876" t="s">
        <v>4918</v>
      </c>
      <c r="D876" t="s">
        <v>327</v>
      </c>
      <c r="E876" t="s">
        <v>327</v>
      </c>
      <c r="F876" t="s">
        <v>327</v>
      </c>
      <c r="G876" t="s">
        <v>327</v>
      </c>
      <c r="H876" t="s">
        <v>327</v>
      </c>
      <c r="I876" t="s">
        <v>2990</v>
      </c>
    </row>
    <row r="877" spans="1:9">
      <c r="A877" s="5" t="s">
        <v>327</v>
      </c>
      <c r="B877" s="5" t="s">
        <v>4847</v>
      </c>
      <c r="C877" t="s">
        <v>4919</v>
      </c>
      <c r="D877" t="s">
        <v>327</v>
      </c>
      <c r="E877" t="s">
        <v>327</v>
      </c>
      <c r="F877" t="s">
        <v>327</v>
      </c>
      <c r="G877" t="s">
        <v>327</v>
      </c>
      <c r="H877" t="s">
        <v>327</v>
      </c>
      <c r="I877" t="s">
        <v>2931</v>
      </c>
    </row>
    <row r="878" spans="1:9">
      <c r="A878" s="5" t="s">
        <v>327</v>
      </c>
      <c r="B878" s="5" t="s">
        <v>4920</v>
      </c>
      <c r="C878" t="s">
        <v>4921</v>
      </c>
      <c r="D878" t="s">
        <v>327</v>
      </c>
      <c r="E878" t="s">
        <v>327</v>
      </c>
      <c r="F878" t="s">
        <v>327</v>
      </c>
      <c r="G878" t="s">
        <v>327</v>
      </c>
      <c r="H878" t="s">
        <v>327</v>
      </c>
      <c r="I878" t="s">
        <v>2931</v>
      </c>
    </row>
    <row r="879" spans="1:9">
      <c r="A879" s="5" t="s">
        <v>327</v>
      </c>
      <c r="B879" s="5" t="s">
        <v>4922</v>
      </c>
      <c r="C879" t="s">
        <v>4923</v>
      </c>
      <c r="D879" t="s">
        <v>327</v>
      </c>
      <c r="E879" t="s">
        <v>327</v>
      </c>
      <c r="F879" t="s">
        <v>327</v>
      </c>
      <c r="G879" t="s">
        <v>327</v>
      </c>
      <c r="H879" t="s">
        <v>327</v>
      </c>
      <c r="I879" t="s">
        <v>2931</v>
      </c>
    </row>
    <row r="880" spans="1:9">
      <c r="A880" s="5" t="s">
        <v>327</v>
      </c>
      <c r="B880" s="5" t="s">
        <v>4924</v>
      </c>
      <c r="C880" t="s">
        <v>4925</v>
      </c>
      <c r="D880" t="s">
        <v>327</v>
      </c>
      <c r="E880" t="s">
        <v>327</v>
      </c>
      <c r="F880" t="s">
        <v>327</v>
      </c>
      <c r="G880" t="s">
        <v>327</v>
      </c>
      <c r="H880" t="s">
        <v>327</v>
      </c>
      <c r="I880" t="s">
        <v>2990</v>
      </c>
    </row>
    <row r="881" spans="1:9">
      <c r="A881" s="5" t="s">
        <v>327</v>
      </c>
      <c r="B881" s="5" t="s">
        <v>4926</v>
      </c>
      <c r="C881" t="s">
        <v>4927</v>
      </c>
      <c r="D881" t="s">
        <v>327</v>
      </c>
      <c r="E881" t="s">
        <v>327</v>
      </c>
      <c r="F881" t="s">
        <v>327</v>
      </c>
      <c r="G881" t="s">
        <v>327</v>
      </c>
      <c r="H881" t="s">
        <v>327</v>
      </c>
      <c r="I881" t="s">
        <v>2931</v>
      </c>
    </row>
    <row r="882" spans="1:9">
      <c r="A882" s="5" t="s">
        <v>327</v>
      </c>
      <c r="B882" s="5" t="s">
        <v>4847</v>
      </c>
      <c r="C882" t="s">
        <v>4928</v>
      </c>
      <c r="D882" t="s">
        <v>327</v>
      </c>
      <c r="E882" t="s">
        <v>327</v>
      </c>
      <c r="F882" t="s">
        <v>327</v>
      </c>
      <c r="G882" t="s">
        <v>327</v>
      </c>
      <c r="H882" t="s">
        <v>327</v>
      </c>
      <c r="I882" t="s">
        <v>2931</v>
      </c>
    </row>
    <row r="883" spans="1:9">
      <c r="A883" s="5" t="s">
        <v>327</v>
      </c>
      <c r="B883" s="5" t="s">
        <v>4929</v>
      </c>
      <c r="C883" t="s">
        <v>4930</v>
      </c>
      <c r="D883" t="s">
        <v>327</v>
      </c>
      <c r="E883" t="s">
        <v>327</v>
      </c>
      <c r="F883" t="s">
        <v>327</v>
      </c>
      <c r="G883" t="s">
        <v>327</v>
      </c>
      <c r="H883" t="s">
        <v>327</v>
      </c>
      <c r="I883" t="s">
        <v>2931</v>
      </c>
    </row>
    <row r="884" spans="1:9">
      <c r="A884" s="5" t="s">
        <v>327</v>
      </c>
      <c r="B884" s="5" t="s">
        <v>4931</v>
      </c>
      <c r="C884" t="s">
        <v>4932</v>
      </c>
      <c r="D884" t="s">
        <v>327</v>
      </c>
      <c r="E884" t="s">
        <v>327</v>
      </c>
      <c r="F884" t="s">
        <v>327</v>
      </c>
      <c r="G884" t="s">
        <v>327</v>
      </c>
      <c r="H884" t="s">
        <v>327</v>
      </c>
      <c r="I884" t="s">
        <v>2931</v>
      </c>
    </row>
    <row r="885" spans="1:9">
      <c r="A885" s="5" t="s">
        <v>327</v>
      </c>
      <c r="B885" s="5" t="s">
        <v>4933</v>
      </c>
      <c r="C885" t="s">
        <v>4934</v>
      </c>
      <c r="D885" t="s">
        <v>327</v>
      </c>
      <c r="E885" t="s">
        <v>327</v>
      </c>
      <c r="F885" t="s">
        <v>327</v>
      </c>
      <c r="G885" t="s">
        <v>327</v>
      </c>
      <c r="H885" t="s">
        <v>327</v>
      </c>
      <c r="I885" t="s">
        <v>2931</v>
      </c>
    </row>
    <row r="886" spans="1:9">
      <c r="A886" s="5" t="s">
        <v>327</v>
      </c>
      <c r="B886" s="5" t="s">
        <v>4935</v>
      </c>
      <c r="C886" t="s">
        <v>4936</v>
      </c>
      <c r="D886" t="s">
        <v>327</v>
      </c>
      <c r="E886" t="s">
        <v>327</v>
      </c>
      <c r="F886" t="s">
        <v>327</v>
      </c>
      <c r="G886" t="s">
        <v>327</v>
      </c>
      <c r="H886" t="s">
        <v>327</v>
      </c>
      <c r="I886" t="s">
        <v>2990</v>
      </c>
    </row>
    <row r="887" spans="1:9">
      <c r="A887" s="5" t="s">
        <v>327</v>
      </c>
      <c r="B887" s="5" t="s">
        <v>4937</v>
      </c>
      <c r="C887" t="s">
        <v>4938</v>
      </c>
      <c r="D887" t="s">
        <v>327</v>
      </c>
      <c r="E887" t="s">
        <v>327</v>
      </c>
      <c r="F887" t="s">
        <v>327</v>
      </c>
      <c r="G887" t="s">
        <v>327</v>
      </c>
      <c r="H887" t="s">
        <v>327</v>
      </c>
      <c r="I887" t="s">
        <v>2990</v>
      </c>
    </row>
    <row r="888" spans="1:9">
      <c r="A888" s="5" t="s">
        <v>327</v>
      </c>
      <c r="B888" s="5" t="s">
        <v>4939</v>
      </c>
      <c r="C888" t="s">
        <v>4940</v>
      </c>
      <c r="D888" t="s">
        <v>327</v>
      </c>
      <c r="E888" t="s">
        <v>327</v>
      </c>
      <c r="F888" t="s">
        <v>327</v>
      </c>
      <c r="G888" t="s">
        <v>327</v>
      </c>
      <c r="H888" t="s">
        <v>327</v>
      </c>
      <c r="I888" t="s">
        <v>2990</v>
      </c>
    </row>
    <row r="889" spans="1:9">
      <c r="A889" s="5" t="s">
        <v>327</v>
      </c>
      <c r="B889" s="5" t="s">
        <v>4941</v>
      </c>
      <c r="C889" t="s">
        <v>4942</v>
      </c>
      <c r="D889" t="s">
        <v>327</v>
      </c>
      <c r="E889" t="s">
        <v>327</v>
      </c>
      <c r="F889" t="s">
        <v>327</v>
      </c>
      <c r="G889" t="s">
        <v>327</v>
      </c>
      <c r="H889" t="s">
        <v>327</v>
      </c>
      <c r="I889" t="s">
        <v>4943</v>
      </c>
    </row>
    <row r="890" spans="1:9">
      <c r="A890" s="5" t="s">
        <v>327</v>
      </c>
      <c r="B890" s="5" t="s">
        <v>4941</v>
      </c>
      <c r="C890" t="s">
        <v>4944</v>
      </c>
      <c r="D890" t="s">
        <v>327</v>
      </c>
      <c r="E890" t="s">
        <v>327</v>
      </c>
      <c r="F890" t="s">
        <v>327</v>
      </c>
      <c r="G890" t="s">
        <v>327</v>
      </c>
      <c r="H890" t="s">
        <v>327</v>
      </c>
      <c r="I890" t="s">
        <v>4943</v>
      </c>
    </row>
    <row r="891" spans="1:9">
      <c r="A891" s="5" t="s">
        <v>327</v>
      </c>
      <c r="B891" s="5" t="s">
        <v>4945</v>
      </c>
      <c r="C891" t="s">
        <v>4946</v>
      </c>
      <c r="D891" t="s">
        <v>327</v>
      </c>
      <c r="E891" t="s">
        <v>327</v>
      </c>
      <c r="F891" t="s">
        <v>327</v>
      </c>
      <c r="G891" t="s">
        <v>327</v>
      </c>
      <c r="H891" t="s">
        <v>327</v>
      </c>
      <c r="I891" t="s">
        <v>2931</v>
      </c>
    </row>
    <row r="892" spans="1:9">
      <c r="A892" s="5" t="s">
        <v>327</v>
      </c>
      <c r="B892" s="5" t="s">
        <v>4947</v>
      </c>
      <c r="C892" t="s">
        <v>4948</v>
      </c>
      <c r="D892" t="s">
        <v>327</v>
      </c>
      <c r="E892" t="s">
        <v>327</v>
      </c>
      <c r="F892" t="s">
        <v>327</v>
      </c>
      <c r="G892" t="s">
        <v>327</v>
      </c>
      <c r="H892" t="s">
        <v>327</v>
      </c>
      <c r="I892" t="s">
        <v>2931</v>
      </c>
    </row>
    <row r="893" spans="1:9">
      <c r="A893" s="5" t="s">
        <v>327</v>
      </c>
      <c r="B893" s="5" t="s">
        <v>4949</v>
      </c>
      <c r="C893" t="s">
        <v>4950</v>
      </c>
      <c r="D893" t="s">
        <v>327</v>
      </c>
      <c r="E893" t="s">
        <v>327</v>
      </c>
      <c r="F893" t="s">
        <v>327</v>
      </c>
      <c r="G893" t="s">
        <v>327</v>
      </c>
      <c r="H893" t="s">
        <v>327</v>
      </c>
      <c r="I893" t="s">
        <v>2931</v>
      </c>
    </row>
    <row r="894" spans="1:9">
      <c r="A894" s="5" t="s">
        <v>327</v>
      </c>
      <c r="B894" s="5" t="s">
        <v>4751</v>
      </c>
      <c r="C894" t="s">
        <v>4951</v>
      </c>
      <c r="D894" t="s">
        <v>327</v>
      </c>
      <c r="E894" t="s">
        <v>327</v>
      </c>
      <c r="F894" t="s">
        <v>327</v>
      </c>
      <c r="G894" t="s">
        <v>327</v>
      </c>
      <c r="H894" t="s">
        <v>327</v>
      </c>
      <c r="I894" t="s">
        <v>2931</v>
      </c>
    </row>
    <row r="895" spans="1:9">
      <c r="A895" s="5" t="s">
        <v>327</v>
      </c>
      <c r="B895" s="5" t="s">
        <v>4952</v>
      </c>
      <c r="C895" t="s">
        <v>4953</v>
      </c>
      <c r="D895" t="s">
        <v>327</v>
      </c>
      <c r="E895" t="s">
        <v>327</v>
      </c>
      <c r="F895" t="s">
        <v>327</v>
      </c>
      <c r="G895" t="s">
        <v>327</v>
      </c>
      <c r="H895" t="s">
        <v>327</v>
      </c>
      <c r="I895" t="s">
        <v>2931</v>
      </c>
    </row>
    <row r="896" spans="1:9">
      <c r="A896" s="5" t="s">
        <v>327</v>
      </c>
      <c r="B896" s="5" t="s">
        <v>4954</v>
      </c>
      <c r="C896" t="s">
        <v>4955</v>
      </c>
      <c r="D896" t="s">
        <v>327</v>
      </c>
      <c r="E896" t="s">
        <v>327</v>
      </c>
      <c r="F896" t="s">
        <v>327</v>
      </c>
      <c r="G896" t="s">
        <v>327</v>
      </c>
      <c r="H896" t="s">
        <v>327</v>
      </c>
      <c r="I896" t="s">
        <v>2931</v>
      </c>
    </row>
    <row r="897" spans="1:9">
      <c r="A897" s="5" t="s">
        <v>327</v>
      </c>
      <c r="B897" s="5" t="s">
        <v>4956</v>
      </c>
      <c r="C897" t="s">
        <v>4957</v>
      </c>
      <c r="D897" t="s">
        <v>327</v>
      </c>
      <c r="E897" t="s">
        <v>327</v>
      </c>
      <c r="F897" t="s">
        <v>327</v>
      </c>
      <c r="G897" t="s">
        <v>327</v>
      </c>
      <c r="H897" t="s">
        <v>327</v>
      </c>
      <c r="I897" t="s">
        <v>2931</v>
      </c>
    </row>
    <row r="898" spans="1:9">
      <c r="A898" s="5" t="s">
        <v>327</v>
      </c>
      <c r="B898" s="5" t="s">
        <v>4958</v>
      </c>
      <c r="C898" t="s">
        <v>4959</v>
      </c>
      <c r="D898" t="s">
        <v>327</v>
      </c>
      <c r="E898" t="s">
        <v>327</v>
      </c>
      <c r="F898" t="s">
        <v>327</v>
      </c>
      <c r="G898" t="s">
        <v>327</v>
      </c>
      <c r="H898" t="s">
        <v>327</v>
      </c>
      <c r="I898" t="s">
        <v>2931</v>
      </c>
    </row>
    <row r="899" spans="1:9">
      <c r="A899" s="5" t="s">
        <v>327</v>
      </c>
      <c r="B899" s="5" t="s">
        <v>4960</v>
      </c>
      <c r="C899" t="s">
        <v>4961</v>
      </c>
      <c r="D899" t="s">
        <v>327</v>
      </c>
      <c r="E899" t="s">
        <v>327</v>
      </c>
      <c r="F899" t="s">
        <v>327</v>
      </c>
      <c r="G899" t="s">
        <v>327</v>
      </c>
      <c r="H899" t="s">
        <v>327</v>
      </c>
      <c r="I899" t="s">
        <v>2931</v>
      </c>
    </row>
    <row r="900" spans="1:9">
      <c r="A900" s="5" t="s">
        <v>327</v>
      </c>
      <c r="B900" s="5" t="s">
        <v>4962</v>
      </c>
      <c r="C900" t="s">
        <v>4963</v>
      </c>
      <c r="D900" t="s">
        <v>327</v>
      </c>
      <c r="E900" t="s">
        <v>327</v>
      </c>
      <c r="F900" t="s">
        <v>327</v>
      </c>
      <c r="G900" t="s">
        <v>327</v>
      </c>
      <c r="H900" t="s">
        <v>327</v>
      </c>
      <c r="I900" t="s">
        <v>2931</v>
      </c>
    </row>
    <row r="901" spans="1:9">
      <c r="A901" s="5" t="s">
        <v>327</v>
      </c>
      <c r="B901" s="5" t="s">
        <v>4964</v>
      </c>
      <c r="C901" t="s">
        <v>4965</v>
      </c>
      <c r="D901" t="s">
        <v>327</v>
      </c>
      <c r="E901" t="s">
        <v>327</v>
      </c>
      <c r="F901" t="s">
        <v>327</v>
      </c>
      <c r="G901" t="s">
        <v>327</v>
      </c>
      <c r="H901" t="s">
        <v>327</v>
      </c>
      <c r="I901" t="s">
        <v>2931</v>
      </c>
    </row>
    <row r="902" spans="1:9">
      <c r="A902" s="5" t="s">
        <v>327</v>
      </c>
      <c r="B902" s="5" t="s">
        <v>4966</v>
      </c>
      <c r="C902" t="s">
        <v>4967</v>
      </c>
      <c r="D902" t="s">
        <v>327</v>
      </c>
      <c r="E902" t="s">
        <v>327</v>
      </c>
      <c r="F902" t="s">
        <v>327</v>
      </c>
      <c r="G902" t="s">
        <v>327</v>
      </c>
      <c r="H902" t="s">
        <v>327</v>
      </c>
      <c r="I902" t="s">
        <v>2931</v>
      </c>
    </row>
    <row r="903" spans="1:9">
      <c r="A903" s="5" t="s">
        <v>327</v>
      </c>
      <c r="B903" s="5" t="s">
        <v>4968</v>
      </c>
      <c r="C903" t="s">
        <v>4969</v>
      </c>
      <c r="D903" t="s">
        <v>327</v>
      </c>
      <c r="E903" t="s">
        <v>327</v>
      </c>
      <c r="F903" t="s">
        <v>327</v>
      </c>
      <c r="G903" t="s">
        <v>327</v>
      </c>
      <c r="H903" t="s">
        <v>327</v>
      </c>
      <c r="I903" t="s">
        <v>2931</v>
      </c>
    </row>
    <row r="904" spans="1:9">
      <c r="A904" s="5" t="s">
        <v>327</v>
      </c>
      <c r="B904" s="5" t="s">
        <v>4970</v>
      </c>
      <c r="C904" t="s">
        <v>4971</v>
      </c>
      <c r="D904" t="s">
        <v>327</v>
      </c>
      <c r="E904" t="s">
        <v>327</v>
      </c>
      <c r="F904" t="s">
        <v>327</v>
      </c>
      <c r="G904" t="s">
        <v>327</v>
      </c>
      <c r="H904" t="s">
        <v>327</v>
      </c>
      <c r="I904" t="s">
        <v>2931</v>
      </c>
    </row>
    <row r="905" spans="1:9">
      <c r="A905" s="5" t="s">
        <v>327</v>
      </c>
      <c r="B905" s="5" t="s">
        <v>4972</v>
      </c>
      <c r="C905" t="s">
        <v>4973</v>
      </c>
      <c r="D905" t="s">
        <v>327</v>
      </c>
      <c r="E905" t="s">
        <v>327</v>
      </c>
      <c r="F905" t="s">
        <v>327</v>
      </c>
      <c r="G905" t="s">
        <v>327</v>
      </c>
      <c r="H905" t="s">
        <v>327</v>
      </c>
      <c r="I905" t="s">
        <v>2931</v>
      </c>
    </row>
    <row r="906" spans="1:9">
      <c r="A906" s="5" t="s">
        <v>327</v>
      </c>
      <c r="B906" s="5" t="s">
        <v>4974</v>
      </c>
      <c r="C906" t="s">
        <v>4975</v>
      </c>
      <c r="D906" t="s">
        <v>327</v>
      </c>
      <c r="E906" t="s">
        <v>327</v>
      </c>
      <c r="F906" t="s">
        <v>327</v>
      </c>
      <c r="G906" t="s">
        <v>327</v>
      </c>
      <c r="H906" t="s">
        <v>327</v>
      </c>
      <c r="I906" t="s">
        <v>2931</v>
      </c>
    </row>
    <row r="907" spans="1:9">
      <c r="A907" s="5" t="s">
        <v>327</v>
      </c>
      <c r="B907" s="5" t="s">
        <v>4976</v>
      </c>
      <c r="C907" t="s">
        <v>4977</v>
      </c>
      <c r="D907" t="s">
        <v>327</v>
      </c>
      <c r="E907" t="s">
        <v>327</v>
      </c>
      <c r="F907" t="s">
        <v>327</v>
      </c>
      <c r="G907" t="s">
        <v>327</v>
      </c>
      <c r="H907" t="s">
        <v>327</v>
      </c>
      <c r="I907" t="s">
        <v>2990</v>
      </c>
    </row>
    <row r="908" spans="1:9">
      <c r="A908" s="5" t="s">
        <v>327</v>
      </c>
      <c r="B908" s="5" t="s">
        <v>4978</v>
      </c>
      <c r="C908" t="s">
        <v>4979</v>
      </c>
      <c r="D908" t="s">
        <v>327</v>
      </c>
      <c r="E908" t="s">
        <v>327</v>
      </c>
      <c r="F908" t="s">
        <v>327</v>
      </c>
      <c r="G908" t="s">
        <v>327</v>
      </c>
      <c r="H908" t="s">
        <v>327</v>
      </c>
      <c r="I908" t="s">
        <v>2931</v>
      </c>
    </row>
    <row r="909" spans="1:9">
      <c r="A909" s="5" t="s">
        <v>327</v>
      </c>
      <c r="B909" s="5" t="s">
        <v>4980</v>
      </c>
      <c r="C909" t="s">
        <v>4981</v>
      </c>
      <c r="D909" t="s">
        <v>327</v>
      </c>
      <c r="E909" t="s">
        <v>327</v>
      </c>
      <c r="F909" t="s">
        <v>327</v>
      </c>
      <c r="G909" t="s">
        <v>327</v>
      </c>
      <c r="H909" t="s">
        <v>327</v>
      </c>
      <c r="I909" t="s">
        <v>2931</v>
      </c>
    </row>
    <row r="910" spans="1:9">
      <c r="A910" s="5" t="s">
        <v>327</v>
      </c>
      <c r="B910" s="5" t="s">
        <v>4982</v>
      </c>
      <c r="C910" t="s">
        <v>4983</v>
      </c>
      <c r="D910" t="s">
        <v>327</v>
      </c>
      <c r="E910" t="s">
        <v>327</v>
      </c>
      <c r="F910" t="s">
        <v>327</v>
      </c>
      <c r="G910" t="s">
        <v>327</v>
      </c>
      <c r="H910" t="s">
        <v>327</v>
      </c>
      <c r="I910" t="s">
        <v>2931</v>
      </c>
    </row>
    <row r="911" spans="1:9">
      <c r="A911" s="5" t="s">
        <v>327</v>
      </c>
      <c r="B911" s="5" t="s">
        <v>4984</v>
      </c>
      <c r="C911" t="s">
        <v>4985</v>
      </c>
      <c r="D911" t="s">
        <v>327</v>
      </c>
      <c r="E911" t="s">
        <v>327</v>
      </c>
      <c r="F911" t="s">
        <v>327</v>
      </c>
      <c r="G911" t="s">
        <v>327</v>
      </c>
      <c r="H911" t="s">
        <v>327</v>
      </c>
      <c r="I911" t="s">
        <v>2931</v>
      </c>
    </row>
    <row r="912" spans="1:9">
      <c r="A912" s="5" t="s">
        <v>327</v>
      </c>
      <c r="B912" s="5" t="s">
        <v>4986</v>
      </c>
      <c r="C912" t="s">
        <v>4987</v>
      </c>
      <c r="D912" t="s">
        <v>327</v>
      </c>
      <c r="E912" t="s">
        <v>327</v>
      </c>
      <c r="F912" t="s">
        <v>327</v>
      </c>
      <c r="G912" t="s">
        <v>327</v>
      </c>
      <c r="H912" t="s">
        <v>327</v>
      </c>
      <c r="I912" t="s">
        <v>2931</v>
      </c>
    </row>
    <row r="913" spans="1:9">
      <c r="A913" s="5" t="s">
        <v>327</v>
      </c>
      <c r="B913" s="5" t="s">
        <v>4988</v>
      </c>
      <c r="C913" t="s">
        <v>4989</v>
      </c>
      <c r="D913" t="s">
        <v>327</v>
      </c>
      <c r="E913" t="s">
        <v>327</v>
      </c>
      <c r="F913" t="s">
        <v>327</v>
      </c>
      <c r="G913" t="s">
        <v>327</v>
      </c>
      <c r="H913" t="s">
        <v>327</v>
      </c>
      <c r="I913" t="s">
        <v>2931</v>
      </c>
    </row>
    <row r="914" spans="1:9">
      <c r="A914" s="5" t="s">
        <v>327</v>
      </c>
      <c r="B914" s="5" t="s">
        <v>4990</v>
      </c>
      <c r="C914" t="s">
        <v>4991</v>
      </c>
      <c r="D914" t="s">
        <v>327</v>
      </c>
      <c r="E914" t="s">
        <v>327</v>
      </c>
      <c r="F914" t="s">
        <v>327</v>
      </c>
      <c r="G914" t="s">
        <v>327</v>
      </c>
      <c r="H914" t="s">
        <v>327</v>
      </c>
      <c r="I914" t="s">
        <v>2990</v>
      </c>
    </row>
    <row r="915" spans="1:9">
      <c r="A915" s="5" t="s">
        <v>327</v>
      </c>
      <c r="B915" s="5" t="s">
        <v>4992</v>
      </c>
      <c r="C915" t="s">
        <v>4993</v>
      </c>
      <c r="D915" t="s">
        <v>327</v>
      </c>
      <c r="E915" t="s">
        <v>327</v>
      </c>
      <c r="F915" t="s">
        <v>327</v>
      </c>
      <c r="G915" t="s">
        <v>327</v>
      </c>
      <c r="H915" t="s">
        <v>327</v>
      </c>
      <c r="I915" t="s">
        <v>2990</v>
      </c>
    </row>
    <row r="916" spans="1:9">
      <c r="A916" s="5" t="s">
        <v>327</v>
      </c>
      <c r="B916" s="5" t="s">
        <v>4994</v>
      </c>
      <c r="C916" t="s">
        <v>4995</v>
      </c>
      <c r="D916" t="s">
        <v>327</v>
      </c>
      <c r="E916" t="s">
        <v>327</v>
      </c>
      <c r="F916" t="s">
        <v>327</v>
      </c>
      <c r="G916" t="s">
        <v>327</v>
      </c>
      <c r="H916" t="s">
        <v>327</v>
      </c>
      <c r="I916" t="s">
        <v>2990</v>
      </c>
    </row>
    <row r="917" spans="1:9">
      <c r="A917" s="5" t="s">
        <v>327</v>
      </c>
      <c r="B917" s="5" t="s">
        <v>4996</v>
      </c>
      <c r="C917" t="s">
        <v>4997</v>
      </c>
      <c r="D917" t="s">
        <v>327</v>
      </c>
      <c r="E917" t="s">
        <v>327</v>
      </c>
      <c r="F917" t="s">
        <v>327</v>
      </c>
      <c r="G917" t="s">
        <v>327</v>
      </c>
      <c r="H917" t="s">
        <v>327</v>
      </c>
      <c r="I917" t="s">
        <v>2931</v>
      </c>
    </row>
    <row r="918" spans="1:9">
      <c r="A918" s="5" t="s">
        <v>327</v>
      </c>
      <c r="B918" s="5" t="s">
        <v>4998</v>
      </c>
      <c r="C918" t="s">
        <v>4999</v>
      </c>
      <c r="D918" t="s">
        <v>327</v>
      </c>
      <c r="E918" t="s">
        <v>327</v>
      </c>
      <c r="F918" t="s">
        <v>327</v>
      </c>
      <c r="G918" t="s">
        <v>327</v>
      </c>
      <c r="H918" t="s">
        <v>327</v>
      </c>
      <c r="I918" t="s">
        <v>2931</v>
      </c>
    </row>
    <row r="919" spans="1:9">
      <c r="A919" s="5" t="s">
        <v>327</v>
      </c>
      <c r="B919" s="5" t="s">
        <v>5000</v>
      </c>
      <c r="C919" t="s">
        <v>5001</v>
      </c>
      <c r="D919" t="s">
        <v>327</v>
      </c>
      <c r="E919" t="s">
        <v>327</v>
      </c>
      <c r="F919" t="s">
        <v>327</v>
      </c>
      <c r="G919" t="s">
        <v>327</v>
      </c>
      <c r="H919" t="s">
        <v>327</v>
      </c>
      <c r="I919" t="s">
        <v>2990</v>
      </c>
    </row>
    <row r="920" spans="1:9">
      <c r="A920" s="5" t="s">
        <v>327</v>
      </c>
      <c r="B920" s="5" t="s">
        <v>5002</v>
      </c>
      <c r="C920" t="s">
        <v>5003</v>
      </c>
      <c r="D920" t="s">
        <v>327</v>
      </c>
      <c r="E920" t="s">
        <v>327</v>
      </c>
      <c r="F920" t="s">
        <v>327</v>
      </c>
      <c r="G920" t="s">
        <v>327</v>
      </c>
      <c r="H920" t="s">
        <v>327</v>
      </c>
      <c r="I920" t="s">
        <v>2990</v>
      </c>
    </row>
    <row r="921" spans="1:9">
      <c r="A921" s="5" t="s">
        <v>327</v>
      </c>
      <c r="B921" s="5" t="s">
        <v>5004</v>
      </c>
      <c r="C921" t="s">
        <v>5005</v>
      </c>
      <c r="D921" t="s">
        <v>327</v>
      </c>
      <c r="E921" t="s">
        <v>327</v>
      </c>
      <c r="F921" t="s">
        <v>327</v>
      </c>
      <c r="G921" t="s">
        <v>327</v>
      </c>
      <c r="H921" t="s">
        <v>327</v>
      </c>
      <c r="I921" t="s">
        <v>2990</v>
      </c>
    </row>
    <row r="922" spans="1:9">
      <c r="A922" s="5" t="s">
        <v>327</v>
      </c>
      <c r="B922" s="5" t="s">
        <v>5006</v>
      </c>
      <c r="C922" t="s">
        <v>5007</v>
      </c>
      <c r="D922" t="s">
        <v>327</v>
      </c>
      <c r="E922" t="s">
        <v>327</v>
      </c>
      <c r="F922" t="s">
        <v>327</v>
      </c>
      <c r="G922" t="s">
        <v>327</v>
      </c>
      <c r="H922" t="s">
        <v>327</v>
      </c>
      <c r="I922" t="s">
        <v>2990</v>
      </c>
    </row>
    <row r="923" spans="1:9">
      <c r="A923" s="5" t="s">
        <v>327</v>
      </c>
      <c r="B923" s="5" t="s">
        <v>5008</v>
      </c>
      <c r="C923" t="s">
        <v>5009</v>
      </c>
      <c r="D923" t="s">
        <v>327</v>
      </c>
      <c r="E923" t="s">
        <v>327</v>
      </c>
      <c r="F923" t="s">
        <v>327</v>
      </c>
      <c r="G923" t="s">
        <v>327</v>
      </c>
      <c r="H923" t="s">
        <v>327</v>
      </c>
      <c r="I923" t="s">
        <v>2990</v>
      </c>
    </row>
    <row r="924" spans="1:9">
      <c r="A924" s="5" t="s">
        <v>327</v>
      </c>
      <c r="B924" s="5" t="s">
        <v>5010</v>
      </c>
      <c r="C924" t="s">
        <v>5011</v>
      </c>
      <c r="D924" t="s">
        <v>327</v>
      </c>
      <c r="E924" t="s">
        <v>327</v>
      </c>
      <c r="F924" t="s">
        <v>327</v>
      </c>
      <c r="G924" t="s">
        <v>327</v>
      </c>
      <c r="H924" t="s">
        <v>327</v>
      </c>
      <c r="I924" t="s">
        <v>2990</v>
      </c>
    </row>
    <row r="925" spans="1:9">
      <c r="A925" s="5" t="s">
        <v>327</v>
      </c>
      <c r="B925" s="5" t="s">
        <v>5012</v>
      </c>
      <c r="C925" t="s">
        <v>5013</v>
      </c>
      <c r="D925" t="s">
        <v>327</v>
      </c>
      <c r="E925" t="s">
        <v>327</v>
      </c>
      <c r="F925" t="s">
        <v>327</v>
      </c>
      <c r="G925" t="s">
        <v>327</v>
      </c>
      <c r="H925" t="s">
        <v>327</v>
      </c>
      <c r="I925" t="s">
        <v>2990</v>
      </c>
    </row>
    <row r="926" spans="1:9">
      <c r="A926" s="5" t="s">
        <v>327</v>
      </c>
      <c r="B926" s="5" t="s">
        <v>5014</v>
      </c>
      <c r="C926" t="s">
        <v>5015</v>
      </c>
      <c r="D926" t="s">
        <v>327</v>
      </c>
      <c r="E926" t="s">
        <v>327</v>
      </c>
      <c r="F926" t="s">
        <v>327</v>
      </c>
      <c r="G926" t="s">
        <v>327</v>
      </c>
      <c r="H926" t="s">
        <v>327</v>
      </c>
      <c r="I926" t="s">
        <v>2931</v>
      </c>
    </row>
    <row r="927" spans="1:9">
      <c r="A927" s="5" t="s">
        <v>327</v>
      </c>
      <c r="B927" s="5" t="s">
        <v>5016</v>
      </c>
      <c r="C927" t="s">
        <v>5017</v>
      </c>
      <c r="D927" t="s">
        <v>327</v>
      </c>
      <c r="E927" t="s">
        <v>327</v>
      </c>
      <c r="F927" t="s">
        <v>327</v>
      </c>
      <c r="G927" t="s">
        <v>327</v>
      </c>
      <c r="H927" t="s">
        <v>327</v>
      </c>
      <c r="I927" t="s">
        <v>2990</v>
      </c>
    </row>
    <row r="928" spans="1:9">
      <c r="A928" s="5" t="s">
        <v>327</v>
      </c>
      <c r="B928" s="5" t="s">
        <v>5018</v>
      </c>
      <c r="C928" t="s">
        <v>5019</v>
      </c>
      <c r="D928" t="s">
        <v>327</v>
      </c>
      <c r="E928" t="s">
        <v>327</v>
      </c>
      <c r="F928" t="s">
        <v>327</v>
      </c>
      <c r="G928" t="s">
        <v>327</v>
      </c>
      <c r="H928" t="s">
        <v>327</v>
      </c>
      <c r="I928" t="s">
        <v>2931</v>
      </c>
    </row>
    <row r="929" spans="1:9">
      <c r="A929" s="5" t="s">
        <v>327</v>
      </c>
      <c r="B929" s="5" t="s">
        <v>5020</v>
      </c>
      <c r="C929" t="s">
        <v>5021</v>
      </c>
      <c r="D929" t="s">
        <v>327</v>
      </c>
      <c r="E929" t="s">
        <v>327</v>
      </c>
      <c r="F929" t="s">
        <v>327</v>
      </c>
      <c r="G929" t="s">
        <v>327</v>
      </c>
      <c r="H929" t="s">
        <v>327</v>
      </c>
      <c r="I929" t="s">
        <v>2990</v>
      </c>
    </row>
    <row r="930" spans="1:9">
      <c r="A930" s="5" t="s">
        <v>327</v>
      </c>
      <c r="B930" s="5" t="s">
        <v>5002</v>
      </c>
      <c r="C930" t="s">
        <v>5022</v>
      </c>
      <c r="D930" t="s">
        <v>327</v>
      </c>
      <c r="E930" t="s">
        <v>327</v>
      </c>
      <c r="F930" t="s">
        <v>327</v>
      </c>
      <c r="G930" t="s">
        <v>327</v>
      </c>
      <c r="H930" t="s">
        <v>327</v>
      </c>
      <c r="I930" t="s">
        <v>2990</v>
      </c>
    </row>
    <row r="931" spans="1:9">
      <c r="A931" s="5" t="s">
        <v>327</v>
      </c>
      <c r="B931" s="5" t="s">
        <v>5023</v>
      </c>
      <c r="C931" t="s">
        <v>5024</v>
      </c>
      <c r="D931" t="s">
        <v>327</v>
      </c>
      <c r="E931" t="s">
        <v>327</v>
      </c>
      <c r="F931" t="s">
        <v>327</v>
      </c>
      <c r="G931" t="s">
        <v>327</v>
      </c>
      <c r="H931" t="s">
        <v>327</v>
      </c>
      <c r="I931" t="s">
        <v>2931</v>
      </c>
    </row>
    <row r="932" spans="1:9">
      <c r="A932" s="5" t="s">
        <v>327</v>
      </c>
      <c r="B932" s="5" t="s">
        <v>5025</v>
      </c>
      <c r="C932" t="s">
        <v>5026</v>
      </c>
      <c r="D932" t="s">
        <v>327</v>
      </c>
      <c r="E932" t="s">
        <v>327</v>
      </c>
      <c r="F932" t="s">
        <v>327</v>
      </c>
      <c r="G932" t="s">
        <v>327</v>
      </c>
      <c r="H932" t="s">
        <v>327</v>
      </c>
      <c r="I932" t="s">
        <v>2931</v>
      </c>
    </row>
    <row r="933" spans="1:9">
      <c r="A933" s="5" t="s">
        <v>327</v>
      </c>
      <c r="B933" s="5" t="s">
        <v>5027</v>
      </c>
      <c r="C933" t="s">
        <v>5028</v>
      </c>
      <c r="D933" t="s">
        <v>327</v>
      </c>
      <c r="E933" t="s">
        <v>327</v>
      </c>
      <c r="F933" t="s">
        <v>327</v>
      </c>
      <c r="G933" t="s">
        <v>327</v>
      </c>
      <c r="H933" t="s">
        <v>327</v>
      </c>
      <c r="I933" t="s">
        <v>2931</v>
      </c>
    </row>
    <row r="934" spans="1:9">
      <c r="A934" s="5" t="s">
        <v>327</v>
      </c>
      <c r="B934" s="5" t="s">
        <v>5029</v>
      </c>
      <c r="C934" t="s">
        <v>5030</v>
      </c>
      <c r="D934" t="s">
        <v>327</v>
      </c>
      <c r="E934" t="s">
        <v>327</v>
      </c>
      <c r="F934" t="s">
        <v>327</v>
      </c>
      <c r="G934" t="s">
        <v>327</v>
      </c>
      <c r="H934" t="s">
        <v>327</v>
      </c>
      <c r="I934" t="s">
        <v>2931</v>
      </c>
    </row>
    <row r="935" spans="1:9">
      <c r="A935" s="5" t="s">
        <v>327</v>
      </c>
      <c r="B935" s="5" t="s">
        <v>5031</v>
      </c>
      <c r="C935" t="s">
        <v>5032</v>
      </c>
      <c r="D935" t="s">
        <v>327</v>
      </c>
      <c r="E935" t="s">
        <v>327</v>
      </c>
      <c r="F935" t="s">
        <v>327</v>
      </c>
      <c r="G935" t="s">
        <v>327</v>
      </c>
      <c r="H935" t="s">
        <v>327</v>
      </c>
      <c r="I935" t="s">
        <v>2931</v>
      </c>
    </row>
    <row r="936" spans="1:9">
      <c r="A936" s="5" t="s">
        <v>327</v>
      </c>
      <c r="B936" s="5" t="s">
        <v>5033</v>
      </c>
      <c r="C936" t="s">
        <v>5034</v>
      </c>
      <c r="D936" t="s">
        <v>327</v>
      </c>
      <c r="E936" t="s">
        <v>327</v>
      </c>
      <c r="F936" t="s">
        <v>327</v>
      </c>
      <c r="G936" t="s">
        <v>327</v>
      </c>
      <c r="H936" t="s">
        <v>327</v>
      </c>
      <c r="I936" t="s">
        <v>4238</v>
      </c>
    </row>
    <row r="937" spans="1:9">
      <c r="A937" s="5" t="s">
        <v>327</v>
      </c>
      <c r="B937" s="5" t="s">
        <v>5035</v>
      </c>
      <c r="C937" t="s">
        <v>5036</v>
      </c>
      <c r="D937" t="s">
        <v>327</v>
      </c>
      <c r="E937" t="s">
        <v>327</v>
      </c>
      <c r="F937" t="s">
        <v>327</v>
      </c>
      <c r="G937" t="s">
        <v>327</v>
      </c>
      <c r="H937" t="s">
        <v>327</v>
      </c>
      <c r="I937" t="s">
        <v>2931</v>
      </c>
    </row>
    <row r="938" spans="1:9">
      <c r="A938" s="5" t="s">
        <v>327</v>
      </c>
      <c r="B938" s="5" t="s">
        <v>5037</v>
      </c>
      <c r="C938" t="s">
        <v>5038</v>
      </c>
      <c r="D938" t="s">
        <v>327</v>
      </c>
      <c r="E938" t="s">
        <v>327</v>
      </c>
      <c r="F938" t="s">
        <v>327</v>
      </c>
      <c r="G938" t="s">
        <v>327</v>
      </c>
      <c r="H938" t="s">
        <v>327</v>
      </c>
      <c r="I938" t="s">
        <v>2931</v>
      </c>
    </row>
    <row r="939" spans="1:9">
      <c r="A939" s="5" t="s">
        <v>327</v>
      </c>
      <c r="B939" s="5" t="s">
        <v>5039</v>
      </c>
      <c r="C939" t="s">
        <v>5040</v>
      </c>
      <c r="D939" t="s">
        <v>327</v>
      </c>
      <c r="E939" t="s">
        <v>327</v>
      </c>
      <c r="F939" t="s">
        <v>327</v>
      </c>
      <c r="G939" t="s">
        <v>327</v>
      </c>
      <c r="H939" t="s">
        <v>327</v>
      </c>
      <c r="I939" t="s">
        <v>2931</v>
      </c>
    </row>
    <row r="940" spans="1:9">
      <c r="A940" s="5" t="s">
        <v>327</v>
      </c>
      <c r="B940" s="5" t="s">
        <v>5041</v>
      </c>
      <c r="C940" t="s">
        <v>5042</v>
      </c>
      <c r="D940" t="s">
        <v>327</v>
      </c>
      <c r="E940" t="s">
        <v>327</v>
      </c>
      <c r="F940" t="s">
        <v>327</v>
      </c>
      <c r="G940" t="s">
        <v>327</v>
      </c>
      <c r="H940" t="s">
        <v>327</v>
      </c>
      <c r="I940" t="s">
        <v>2931</v>
      </c>
    </row>
    <row r="941" spans="1:9">
      <c r="A941" s="5" t="s">
        <v>327</v>
      </c>
      <c r="B941" s="5" t="s">
        <v>5043</v>
      </c>
      <c r="C941" t="s">
        <v>5044</v>
      </c>
      <c r="D941" t="s">
        <v>327</v>
      </c>
      <c r="E941" t="s">
        <v>327</v>
      </c>
      <c r="F941" t="s">
        <v>327</v>
      </c>
      <c r="G941" t="s">
        <v>327</v>
      </c>
      <c r="H941" t="s">
        <v>327</v>
      </c>
      <c r="I941" t="s">
        <v>2990</v>
      </c>
    </row>
    <row r="942" spans="1:9">
      <c r="A942" s="5" t="s">
        <v>327</v>
      </c>
      <c r="B942" s="5" t="s">
        <v>5045</v>
      </c>
      <c r="C942" t="s">
        <v>5046</v>
      </c>
      <c r="D942" t="s">
        <v>327</v>
      </c>
      <c r="E942" t="s">
        <v>327</v>
      </c>
      <c r="F942" t="s">
        <v>327</v>
      </c>
      <c r="G942" t="s">
        <v>327</v>
      </c>
      <c r="H942" t="s">
        <v>327</v>
      </c>
      <c r="I942" t="s">
        <v>2931</v>
      </c>
    </row>
    <row r="943" spans="1:9">
      <c r="A943" s="5" t="s">
        <v>327</v>
      </c>
      <c r="B943" s="5" t="s">
        <v>5047</v>
      </c>
      <c r="C943" t="s">
        <v>5048</v>
      </c>
      <c r="D943" t="s">
        <v>327</v>
      </c>
      <c r="E943" t="s">
        <v>327</v>
      </c>
      <c r="F943" t="s">
        <v>327</v>
      </c>
      <c r="G943" t="s">
        <v>327</v>
      </c>
      <c r="H943" t="s">
        <v>327</v>
      </c>
      <c r="I943" t="s">
        <v>2931</v>
      </c>
    </row>
    <row r="944" spans="1:9">
      <c r="A944" s="5" t="s">
        <v>327</v>
      </c>
      <c r="B944" s="5" t="s">
        <v>5049</v>
      </c>
      <c r="C944" t="s">
        <v>5050</v>
      </c>
      <c r="D944" t="s">
        <v>327</v>
      </c>
      <c r="E944" t="s">
        <v>327</v>
      </c>
      <c r="F944" t="s">
        <v>327</v>
      </c>
      <c r="G944" t="s">
        <v>327</v>
      </c>
      <c r="H944" t="s">
        <v>327</v>
      </c>
      <c r="I944" t="s">
        <v>2990</v>
      </c>
    </row>
    <row r="945" spans="1:9">
      <c r="A945" s="5" t="s">
        <v>327</v>
      </c>
      <c r="B945" s="5" t="s">
        <v>5051</v>
      </c>
      <c r="C945" t="s">
        <v>5052</v>
      </c>
      <c r="D945" t="s">
        <v>327</v>
      </c>
      <c r="E945" t="s">
        <v>327</v>
      </c>
      <c r="F945" t="s">
        <v>327</v>
      </c>
      <c r="G945" t="s">
        <v>327</v>
      </c>
      <c r="H945" t="s">
        <v>327</v>
      </c>
      <c r="I945" t="s">
        <v>2931</v>
      </c>
    </row>
    <row r="946" spans="1:9">
      <c r="A946" s="5" t="s">
        <v>327</v>
      </c>
      <c r="B946" s="5" t="s">
        <v>5053</v>
      </c>
      <c r="C946" t="s">
        <v>5054</v>
      </c>
      <c r="D946" t="s">
        <v>327</v>
      </c>
      <c r="E946" t="s">
        <v>327</v>
      </c>
      <c r="F946" t="s">
        <v>327</v>
      </c>
      <c r="G946" t="s">
        <v>327</v>
      </c>
      <c r="H946" t="s">
        <v>327</v>
      </c>
      <c r="I946" t="s">
        <v>2931</v>
      </c>
    </row>
    <row r="947" spans="1:9">
      <c r="A947" s="5" t="s">
        <v>327</v>
      </c>
      <c r="B947" s="5" t="s">
        <v>5055</v>
      </c>
      <c r="C947" t="s">
        <v>5056</v>
      </c>
      <c r="D947" t="s">
        <v>327</v>
      </c>
      <c r="E947" t="s">
        <v>327</v>
      </c>
      <c r="F947" t="s">
        <v>327</v>
      </c>
      <c r="G947" t="s">
        <v>327</v>
      </c>
      <c r="H947" t="s">
        <v>327</v>
      </c>
      <c r="I947" t="s">
        <v>2931</v>
      </c>
    </row>
    <row r="948" spans="1:9">
      <c r="A948" s="5" t="s">
        <v>327</v>
      </c>
      <c r="B948" s="5" t="s">
        <v>5057</v>
      </c>
      <c r="C948" t="s">
        <v>5058</v>
      </c>
      <c r="D948" t="s">
        <v>327</v>
      </c>
      <c r="E948" t="s">
        <v>327</v>
      </c>
      <c r="F948" t="s">
        <v>327</v>
      </c>
      <c r="G948" t="s">
        <v>327</v>
      </c>
      <c r="H948" t="s">
        <v>327</v>
      </c>
      <c r="I948" t="s">
        <v>5059</v>
      </c>
    </row>
    <row r="949" spans="1:9">
      <c r="A949" s="5" t="s">
        <v>327</v>
      </c>
      <c r="B949" s="5" t="s">
        <v>5060</v>
      </c>
      <c r="C949" t="s">
        <v>5061</v>
      </c>
      <c r="D949" t="s">
        <v>327</v>
      </c>
      <c r="E949" t="s">
        <v>327</v>
      </c>
      <c r="F949" t="s">
        <v>327</v>
      </c>
      <c r="G949" t="s">
        <v>327</v>
      </c>
      <c r="H949" t="s">
        <v>327</v>
      </c>
      <c r="I949" t="s">
        <v>5059</v>
      </c>
    </row>
    <row r="950" spans="1:9">
      <c r="A950" s="5" t="s">
        <v>327</v>
      </c>
      <c r="B950" s="5" t="s">
        <v>5062</v>
      </c>
      <c r="C950" t="s">
        <v>5063</v>
      </c>
      <c r="D950" t="s">
        <v>327</v>
      </c>
      <c r="E950" t="s">
        <v>327</v>
      </c>
      <c r="F950" t="s">
        <v>327</v>
      </c>
      <c r="G950" t="s">
        <v>327</v>
      </c>
      <c r="H950" t="s">
        <v>327</v>
      </c>
      <c r="I950" t="s">
        <v>5059</v>
      </c>
    </row>
    <row r="951" spans="1:9">
      <c r="A951" s="5" t="s">
        <v>327</v>
      </c>
      <c r="B951" s="5" t="s">
        <v>5064</v>
      </c>
      <c r="C951" t="s">
        <v>5065</v>
      </c>
      <c r="D951" t="s">
        <v>327</v>
      </c>
      <c r="E951" t="s">
        <v>327</v>
      </c>
      <c r="F951" t="s">
        <v>327</v>
      </c>
      <c r="G951" t="s">
        <v>327</v>
      </c>
      <c r="H951" t="s">
        <v>327</v>
      </c>
      <c r="I951" t="s">
        <v>5059</v>
      </c>
    </row>
    <row r="952" spans="1:9">
      <c r="A952" s="5" t="s">
        <v>327</v>
      </c>
      <c r="B952" s="5" t="s">
        <v>5066</v>
      </c>
      <c r="C952" t="s">
        <v>5067</v>
      </c>
      <c r="D952" t="s">
        <v>327</v>
      </c>
      <c r="E952" t="s">
        <v>327</v>
      </c>
      <c r="F952" t="s">
        <v>327</v>
      </c>
      <c r="G952" t="s">
        <v>327</v>
      </c>
      <c r="H952" t="s">
        <v>327</v>
      </c>
      <c r="I952" t="s">
        <v>5068</v>
      </c>
    </row>
    <row r="953" spans="1:9">
      <c r="A953" s="5" t="s">
        <v>327</v>
      </c>
      <c r="B953" s="5" t="s">
        <v>5069</v>
      </c>
      <c r="C953" t="s">
        <v>5070</v>
      </c>
      <c r="D953" t="s">
        <v>327</v>
      </c>
      <c r="E953" t="s">
        <v>327</v>
      </c>
      <c r="F953" t="s">
        <v>327</v>
      </c>
      <c r="G953" t="s">
        <v>327</v>
      </c>
      <c r="H953" t="s">
        <v>327</v>
      </c>
      <c r="I953" t="s">
        <v>5071</v>
      </c>
    </row>
    <row r="954" spans="1:9">
      <c r="A954" s="5" t="s">
        <v>327</v>
      </c>
      <c r="B954" s="5" t="s">
        <v>5072</v>
      </c>
      <c r="C954" t="s">
        <v>5073</v>
      </c>
      <c r="D954" t="s">
        <v>327</v>
      </c>
      <c r="E954" t="s">
        <v>327</v>
      </c>
      <c r="F954" t="s">
        <v>327</v>
      </c>
      <c r="G954" t="s">
        <v>327</v>
      </c>
      <c r="H954" t="s">
        <v>327</v>
      </c>
      <c r="I954" t="s">
        <v>2990</v>
      </c>
    </row>
    <row r="955" spans="1:9">
      <c r="A955" s="5" t="s">
        <v>327</v>
      </c>
      <c r="B955" s="5" t="s">
        <v>5074</v>
      </c>
      <c r="C955" t="s">
        <v>5075</v>
      </c>
      <c r="D955" t="s">
        <v>327</v>
      </c>
      <c r="E955" t="s">
        <v>327</v>
      </c>
      <c r="F955" t="s">
        <v>327</v>
      </c>
      <c r="G955" t="s">
        <v>327</v>
      </c>
      <c r="H955" t="s">
        <v>327</v>
      </c>
      <c r="I955" t="s">
        <v>2990</v>
      </c>
    </row>
    <row r="956" spans="1:9">
      <c r="A956" s="5" t="s">
        <v>327</v>
      </c>
      <c r="B956" s="5" t="s">
        <v>5076</v>
      </c>
      <c r="C956" t="s">
        <v>5077</v>
      </c>
      <c r="D956" t="s">
        <v>327</v>
      </c>
      <c r="E956" t="s">
        <v>327</v>
      </c>
      <c r="F956" t="s">
        <v>327</v>
      </c>
      <c r="G956" t="s">
        <v>327</v>
      </c>
      <c r="H956" t="s">
        <v>327</v>
      </c>
      <c r="I956" t="s">
        <v>2990</v>
      </c>
    </row>
    <row r="957" spans="1:9">
      <c r="A957" s="5" t="s">
        <v>327</v>
      </c>
      <c r="B957" s="5" t="s">
        <v>5078</v>
      </c>
      <c r="C957" t="s">
        <v>5079</v>
      </c>
      <c r="D957" t="s">
        <v>327</v>
      </c>
      <c r="E957" t="s">
        <v>327</v>
      </c>
      <c r="F957" t="s">
        <v>327</v>
      </c>
      <c r="G957" t="s">
        <v>327</v>
      </c>
      <c r="H957" t="s">
        <v>327</v>
      </c>
      <c r="I957" t="s">
        <v>2990</v>
      </c>
    </row>
    <row r="958" spans="1:9">
      <c r="A958" s="5" t="s">
        <v>327</v>
      </c>
      <c r="B958" s="5" t="s">
        <v>5080</v>
      </c>
      <c r="C958" t="s">
        <v>5081</v>
      </c>
      <c r="D958" t="s">
        <v>327</v>
      </c>
      <c r="E958" t="s">
        <v>327</v>
      </c>
      <c r="F958" t="s">
        <v>327</v>
      </c>
      <c r="G958" t="s">
        <v>327</v>
      </c>
      <c r="H958" t="s">
        <v>327</v>
      </c>
      <c r="I958" t="s">
        <v>2931</v>
      </c>
    </row>
    <row r="959" spans="1:9">
      <c r="A959" s="5" t="s">
        <v>327</v>
      </c>
      <c r="B959" s="5" t="s">
        <v>5082</v>
      </c>
      <c r="C959" t="s">
        <v>5083</v>
      </c>
      <c r="D959" t="s">
        <v>327</v>
      </c>
      <c r="E959" t="s">
        <v>327</v>
      </c>
      <c r="F959" t="s">
        <v>327</v>
      </c>
      <c r="G959" t="s">
        <v>327</v>
      </c>
      <c r="H959" t="s">
        <v>327</v>
      </c>
      <c r="I959" t="s">
        <v>2931</v>
      </c>
    </row>
    <row r="960" spans="1:9">
      <c r="A960" s="5" t="s">
        <v>327</v>
      </c>
      <c r="B960" s="5" t="s">
        <v>5084</v>
      </c>
      <c r="C960" t="s">
        <v>5085</v>
      </c>
      <c r="D960" t="s">
        <v>327</v>
      </c>
      <c r="E960" t="s">
        <v>327</v>
      </c>
      <c r="F960" t="s">
        <v>327</v>
      </c>
      <c r="G960" t="s">
        <v>327</v>
      </c>
      <c r="H960" t="s">
        <v>327</v>
      </c>
      <c r="I960" t="s">
        <v>2931</v>
      </c>
    </row>
    <row r="961" spans="1:9">
      <c r="A961" s="5" t="s">
        <v>327</v>
      </c>
      <c r="B961" s="5" t="s">
        <v>5086</v>
      </c>
      <c r="C961" t="s">
        <v>5087</v>
      </c>
      <c r="D961" t="s">
        <v>327</v>
      </c>
      <c r="E961" t="s">
        <v>327</v>
      </c>
      <c r="F961" t="s">
        <v>327</v>
      </c>
      <c r="G961" t="s">
        <v>327</v>
      </c>
      <c r="H961" t="s">
        <v>327</v>
      </c>
      <c r="I961" t="s">
        <v>2931</v>
      </c>
    </row>
    <row r="962" spans="1:9">
      <c r="A962" s="5" t="s">
        <v>327</v>
      </c>
      <c r="B962" s="5" t="s">
        <v>5088</v>
      </c>
      <c r="C962" t="s">
        <v>5089</v>
      </c>
      <c r="D962" t="s">
        <v>327</v>
      </c>
      <c r="E962" t="s">
        <v>327</v>
      </c>
      <c r="F962" t="s">
        <v>327</v>
      </c>
      <c r="G962" t="s">
        <v>327</v>
      </c>
      <c r="H962" t="s">
        <v>327</v>
      </c>
      <c r="I962" t="s">
        <v>2990</v>
      </c>
    </row>
    <row r="963" spans="1:9">
      <c r="A963" s="5" t="s">
        <v>327</v>
      </c>
      <c r="B963" s="5" t="s">
        <v>5090</v>
      </c>
      <c r="C963" t="s">
        <v>5091</v>
      </c>
      <c r="D963" t="s">
        <v>327</v>
      </c>
      <c r="E963" t="s">
        <v>327</v>
      </c>
      <c r="F963" t="s">
        <v>327</v>
      </c>
      <c r="G963" t="s">
        <v>327</v>
      </c>
      <c r="H963" t="s">
        <v>327</v>
      </c>
      <c r="I963" t="s">
        <v>2990</v>
      </c>
    </row>
    <row r="964" spans="1:9">
      <c r="A964" s="5" t="s">
        <v>327</v>
      </c>
      <c r="B964" s="5" t="s">
        <v>5092</v>
      </c>
      <c r="C964" t="s">
        <v>5093</v>
      </c>
      <c r="D964" t="s">
        <v>327</v>
      </c>
      <c r="E964" t="s">
        <v>327</v>
      </c>
      <c r="F964" t="s">
        <v>327</v>
      </c>
      <c r="G964" t="s">
        <v>327</v>
      </c>
      <c r="H964" t="s">
        <v>327</v>
      </c>
      <c r="I964" t="s">
        <v>2931</v>
      </c>
    </row>
    <row r="965" spans="1:9">
      <c r="A965" s="5" t="s">
        <v>327</v>
      </c>
      <c r="B965" s="5" t="s">
        <v>5094</v>
      </c>
      <c r="C965" t="s">
        <v>5095</v>
      </c>
      <c r="D965" t="s">
        <v>327</v>
      </c>
      <c r="E965" t="s">
        <v>327</v>
      </c>
      <c r="F965" t="s">
        <v>327</v>
      </c>
      <c r="G965" t="s">
        <v>327</v>
      </c>
      <c r="H965" t="s">
        <v>327</v>
      </c>
      <c r="I965" t="s">
        <v>2931</v>
      </c>
    </row>
    <row r="966" spans="1:9">
      <c r="A966" s="5" t="s">
        <v>327</v>
      </c>
      <c r="B966" s="5" t="s">
        <v>5096</v>
      </c>
      <c r="C966" t="s">
        <v>5097</v>
      </c>
      <c r="D966" t="s">
        <v>327</v>
      </c>
      <c r="E966" t="s">
        <v>327</v>
      </c>
      <c r="F966" t="s">
        <v>327</v>
      </c>
      <c r="G966" t="s">
        <v>327</v>
      </c>
      <c r="H966" t="s">
        <v>327</v>
      </c>
      <c r="I966" t="s">
        <v>2990</v>
      </c>
    </row>
    <row r="967" spans="1:9">
      <c r="A967" s="5" t="s">
        <v>327</v>
      </c>
      <c r="B967" s="5" t="s">
        <v>5098</v>
      </c>
      <c r="C967" t="s">
        <v>5099</v>
      </c>
      <c r="D967" t="s">
        <v>327</v>
      </c>
      <c r="E967" t="s">
        <v>327</v>
      </c>
      <c r="F967" t="s">
        <v>327</v>
      </c>
      <c r="G967" t="s">
        <v>327</v>
      </c>
      <c r="H967" t="s">
        <v>327</v>
      </c>
      <c r="I967" t="s">
        <v>2931</v>
      </c>
    </row>
    <row r="968" spans="1:9">
      <c r="A968" s="5" t="s">
        <v>327</v>
      </c>
      <c r="B968" s="5" t="s">
        <v>5100</v>
      </c>
      <c r="C968" t="s">
        <v>5101</v>
      </c>
      <c r="D968" t="s">
        <v>327</v>
      </c>
      <c r="E968" t="s">
        <v>327</v>
      </c>
      <c r="F968" t="s">
        <v>327</v>
      </c>
      <c r="G968" t="s">
        <v>327</v>
      </c>
      <c r="H968" t="s">
        <v>327</v>
      </c>
      <c r="I968" t="s">
        <v>2931</v>
      </c>
    </row>
    <row r="969" spans="1:9">
      <c r="A969" s="5" t="s">
        <v>327</v>
      </c>
      <c r="B969" s="5" t="s">
        <v>5102</v>
      </c>
      <c r="C969" t="s">
        <v>5103</v>
      </c>
      <c r="D969" t="s">
        <v>327</v>
      </c>
      <c r="E969" t="s">
        <v>327</v>
      </c>
      <c r="F969" t="s">
        <v>327</v>
      </c>
      <c r="G969" t="s">
        <v>327</v>
      </c>
      <c r="H969" t="s">
        <v>327</v>
      </c>
      <c r="I969" t="s">
        <v>2931</v>
      </c>
    </row>
    <row r="970" spans="1:9">
      <c r="A970" s="5" t="s">
        <v>327</v>
      </c>
      <c r="B970" s="5" t="s">
        <v>5104</v>
      </c>
      <c r="C970" t="s">
        <v>5105</v>
      </c>
      <c r="D970" t="s">
        <v>327</v>
      </c>
      <c r="E970" t="s">
        <v>327</v>
      </c>
      <c r="F970" t="s">
        <v>327</v>
      </c>
      <c r="G970" t="s">
        <v>327</v>
      </c>
      <c r="H970" t="s">
        <v>327</v>
      </c>
      <c r="I970" t="s">
        <v>2931</v>
      </c>
    </row>
    <row r="971" spans="1:9">
      <c r="A971" s="5" t="s">
        <v>327</v>
      </c>
      <c r="B971" s="5" t="s">
        <v>5106</v>
      </c>
      <c r="C971" t="s">
        <v>5107</v>
      </c>
      <c r="D971" t="s">
        <v>327</v>
      </c>
      <c r="E971" t="s">
        <v>327</v>
      </c>
      <c r="F971" t="s">
        <v>327</v>
      </c>
      <c r="G971" t="s">
        <v>327</v>
      </c>
      <c r="H971" t="s">
        <v>327</v>
      </c>
      <c r="I971" t="s">
        <v>2931</v>
      </c>
    </row>
    <row r="972" spans="1:9">
      <c r="A972" s="5" t="s">
        <v>327</v>
      </c>
      <c r="B972" s="5" t="s">
        <v>5108</v>
      </c>
      <c r="C972" t="s">
        <v>5109</v>
      </c>
      <c r="D972" t="s">
        <v>327</v>
      </c>
      <c r="E972" t="s">
        <v>327</v>
      </c>
      <c r="F972" t="s">
        <v>327</v>
      </c>
      <c r="G972" t="s">
        <v>327</v>
      </c>
      <c r="H972" t="s">
        <v>327</v>
      </c>
      <c r="I972" t="s">
        <v>2990</v>
      </c>
    </row>
    <row r="973" spans="1:9">
      <c r="A973" s="5" t="s">
        <v>327</v>
      </c>
      <c r="B973" s="5" t="s">
        <v>5110</v>
      </c>
      <c r="C973" t="s">
        <v>5111</v>
      </c>
      <c r="D973" t="s">
        <v>327</v>
      </c>
      <c r="E973" t="s">
        <v>327</v>
      </c>
      <c r="F973" t="s">
        <v>327</v>
      </c>
      <c r="G973" t="s">
        <v>327</v>
      </c>
      <c r="H973" t="s">
        <v>327</v>
      </c>
      <c r="I973" t="s">
        <v>2931</v>
      </c>
    </row>
    <row r="974" spans="1:9">
      <c r="A974" s="5" t="s">
        <v>327</v>
      </c>
      <c r="B974" s="5" t="s">
        <v>5112</v>
      </c>
      <c r="C974" t="s">
        <v>5113</v>
      </c>
      <c r="D974" t="s">
        <v>327</v>
      </c>
      <c r="E974" t="s">
        <v>327</v>
      </c>
      <c r="F974" t="s">
        <v>327</v>
      </c>
      <c r="G974" t="s">
        <v>327</v>
      </c>
      <c r="H974" t="s">
        <v>327</v>
      </c>
      <c r="I974" t="s">
        <v>2931</v>
      </c>
    </row>
    <row r="975" spans="1:9">
      <c r="A975" s="5" t="s">
        <v>327</v>
      </c>
      <c r="B975" s="5" t="s">
        <v>5114</v>
      </c>
      <c r="C975" t="s">
        <v>5115</v>
      </c>
      <c r="D975" t="s">
        <v>327</v>
      </c>
      <c r="E975" t="s">
        <v>327</v>
      </c>
      <c r="F975" t="s">
        <v>327</v>
      </c>
      <c r="G975" t="s">
        <v>327</v>
      </c>
      <c r="H975" t="s">
        <v>327</v>
      </c>
      <c r="I975" t="s">
        <v>2931</v>
      </c>
    </row>
    <row r="976" spans="1:9">
      <c r="A976" s="5" t="s">
        <v>327</v>
      </c>
      <c r="B976" s="5" t="s">
        <v>5116</v>
      </c>
      <c r="C976" t="s">
        <v>5117</v>
      </c>
      <c r="D976" t="s">
        <v>327</v>
      </c>
      <c r="E976" t="s">
        <v>327</v>
      </c>
      <c r="F976" t="s">
        <v>327</v>
      </c>
      <c r="G976" t="s">
        <v>327</v>
      </c>
      <c r="H976" t="s">
        <v>327</v>
      </c>
      <c r="I976" t="s">
        <v>2990</v>
      </c>
    </row>
    <row r="977" spans="1:9">
      <c r="A977" s="5" t="s">
        <v>327</v>
      </c>
      <c r="B977" s="5" t="s">
        <v>5118</v>
      </c>
      <c r="C977" t="s">
        <v>5119</v>
      </c>
      <c r="D977" t="s">
        <v>327</v>
      </c>
      <c r="E977" t="s">
        <v>327</v>
      </c>
      <c r="F977" t="s">
        <v>327</v>
      </c>
      <c r="G977" t="s">
        <v>327</v>
      </c>
      <c r="H977" t="s">
        <v>327</v>
      </c>
      <c r="I977" t="s">
        <v>2990</v>
      </c>
    </row>
    <row r="978" spans="1:9">
      <c r="A978" s="5" t="s">
        <v>327</v>
      </c>
      <c r="B978" s="5" t="s">
        <v>5120</v>
      </c>
      <c r="C978" t="s">
        <v>5121</v>
      </c>
      <c r="D978" t="s">
        <v>327</v>
      </c>
      <c r="E978" t="s">
        <v>327</v>
      </c>
      <c r="F978" t="s">
        <v>327</v>
      </c>
      <c r="G978" t="s">
        <v>327</v>
      </c>
      <c r="H978" t="s">
        <v>327</v>
      </c>
      <c r="I978" t="s">
        <v>2931</v>
      </c>
    </row>
    <row r="979" spans="1:9">
      <c r="A979" s="5" t="s">
        <v>327</v>
      </c>
      <c r="B979" s="5" t="s">
        <v>5122</v>
      </c>
      <c r="C979" t="s">
        <v>5123</v>
      </c>
      <c r="D979" t="s">
        <v>327</v>
      </c>
      <c r="E979" t="s">
        <v>327</v>
      </c>
      <c r="F979" t="s">
        <v>327</v>
      </c>
      <c r="G979" t="s">
        <v>327</v>
      </c>
      <c r="H979" t="s">
        <v>327</v>
      </c>
      <c r="I979" t="s">
        <v>2990</v>
      </c>
    </row>
    <row r="980" spans="1:9">
      <c r="A980" s="5" t="s">
        <v>327</v>
      </c>
      <c r="B980" s="5" t="s">
        <v>5124</v>
      </c>
      <c r="C980" t="s">
        <v>5125</v>
      </c>
      <c r="D980" t="s">
        <v>327</v>
      </c>
      <c r="E980" t="s">
        <v>327</v>
      </c>
      <c r="F980" t="s">
        <v>327</v>
      </c>
      <c r="G980" t="s">
        <v>327</v>
      </c>
      <c r="H980" t="s">
        <v>327</v>
      </c>
      <c r="I980" t="s">
        <v>2990</v>
      </c>
    </row>
    <row r="981" spans="1:9">
      <c r="A981" s="5" t="s">
        <v>327</v>
      </c>
      <c r="B981" s="5" t="s">
        <v>5126</v>
      </c>
      <c r="C981" t="s">
        <v>5127</v>
      </c>
      <c r="D981" t="s">
        <v>327</v>
      </c>
      <c r="E981" t="s">
        <v>327</v>
      </c>
      <c r="F981" t="s">
        <v>327</v>
      </c>
      <c r="G981" t="s">
        <v>327</v>
      </c>
      <c r="H981" t="s">
        <v>327</v>
      </c>
      <c r="I981" t="s">
        <v>2990</v>
      </c>
    </row>
    <row r="982" spans="1:9">
      <c r="A982" s="5" t="s">
        <v>327</v>
      </c>
      <c r="B982" s="5" t="s">
        <v>5128</v>
      </c>
      <c r="C982" t="s">
        <v>5129</v>
      </c>
      <c r="D982" t="s">
        <v>327</v>
      </c>
      <c r="E982" t="s">
        <v>327</v>
      </c>
      <c r="F982" t="s">
        <v>327</v>
      </c>
      <c r="G982" t="s">
        <v>327</v>
      </c>
      <c r="H982" t="s">
        <v>327</v>
      </c>
      <c r="I982" t="s">
        <v>2931</v>
      </c>
    </row>
    <row r="983" spans="1:9">
      <c r="A983" s="5" t="s">
        <v>327</v>
      </c>
      <c r="B983" s="5" t="s">
        <v>5130</v>
      </c>
      <c r="C983" t="s">
        <v>5131</v>
      </c>
      <c r="D983" t="s">
        <v>327</v>
      </c>
      <c r="E983" t="s">
        <v>327</v>
      </c>
      <c r="F983" t="s">
        <v>327</v>
      </c>
      <c r="G983" t="s">
        <v>327</v>
      </c>
      <c r="H983" t="s">
        <v>327</v>
      </c>
      <c r="I983" t="s">
        <v>2931</v>
      </c>
    </row>
    <row r="984" spans="1:9">
      <c r="A984" s="5" t="s">
        <v>327</v>
      </c>
      <c r="B984" s="5" t="s">
        <v>5132</v>
      </c>
      <c r="C984" t="s">
        <v>5133</v>
      </c>
      <c r="D984" t="s">
        <v>327</v>
      </c>
      <c r="E984" t="s">
        <v>327</v>
      </c>
      <c r="F984" t="s">
        <v>327</v>
      </c>
      <c r="G984" t="s">
        <v>327</v>
      </c>
      <c r="H984" t="s">
        <v>327</v>
      </c>
      <c r="I984" t="s">
        <v>2931</v>
      </c>
    </row>
    <row r="985" spans="1:9">
      <c r="A985" s="5" t="s">
        <v>327</v>
      </c>
      <c r="B985" s="5" t="s">
        <v>5134</v>
      </c>
      <c r="C985" t="s">
        <v>5135</v>
      </c>
      <c r="D985" t="s">
        <v>327</v>
      </c>
      <c r="E985" t="s">
        <v>327</v>
      </c>
      <c r="F985" t="s">
        <v>327</v>
      </c>
      <c r="G985" t="s">
        <v>327</v>
      </c>
      <c r="H985" t="s">
        <v>327</v>
      </c>
      <c r="I985" t="s">
        <v>2990</v>
      </c>
    </row>
    <row r="986" spans="1:9">
      <c r="A986" s="5" t="s">
        <v>327</v>
      </c>
      <c r="B986" s="5" t="s">
        <v>5136</v>
      </c>
      <c r="C986" t="s">
        <v>5137</v>
      </c>
      <c r="D986" t="s">
        <v>327</v>
      </c>
      <c r="E986" t="s">
        <v>327</v>
      </c>
      <c r="F986" t="s">
        <v>327</v>
      </c>
      <c r="G986" t="s">
        <v>327</v>
      </c>
      <c r="H986" t="s">
        <v>327</v>
      </c>
      <c r="I986" t="s">
        <v>4538</v>
      </c>
    </row>
    <row r="987" spans="1:9">
      <c r="A987" s="5" t="s">
        <v>327</v>
      </c>
      <c r="B987" s="5" t="s">
        <v>5138</v>
      </c>
      <c r="C987" t="s">
        <v>5139</v>
      </c>
      <c r="D987" t="s">
        <v>327</v>
      </c>
      <c r="E987" t="s">
        <v>327</v>
      </c>
      <c r="F987" t="s">
        <v>327</v>
      </c>
      <c r="G987" t="s">
        <v>327</v>
      </c>
      <c r="H987" t="s">
        <v>327</v>
      </c>
      <c r="I987" t="s">
        <v>2931</v>
      </c>
    </row>
    <row r="988" spans="1:9">
      <c r="A988" s="5" t="s">
        <v>327</v>
      </c>
      <c r="B988" s="5" t="s">
        <v>5140</v>
      </c>
      <c r="C988" t="s">
        <v>5141</v>
      </c>
      <c r="D988" t="s">
        <v>327</v>
      </c>
      <c r="E988" t="s">
        <v>327</v>
      </c>
      <c r="F988" t="s">
        <v>327</v>
      </c>
      <c r="G988" t="s">
        <v>327</v>
      </c>
      <c r="H988" t="s">
        <v>327</v>
      </c>
      <c r="I988" t="s">
        <v>5142</v>
      </c>
    </row>
    <row r="989" spans="1:9">
      <c r="A989" s="5" t="s">
        <v>327</v>
      </c>
      <c r="B989" s="5" t="s">
        <v>5143</v>
      </c>
      <c r="C989" t="s">
        <v>5144</v>
      </c>
      <c r="D989" t="s">
        <v>327</v>
      </c>
      <c r="E989" t="s">
        <v>327</v>
      </c>
      <c r="F989" t="s">
        <v>327</v>
      </c>
      <c r="G989" t="s">
        <v>327</v>
      </c>
      <c r="H989" t="s">
        <v>327</v>
      </c>
      <c r="I989" t="s">
        <v>2931</v>
      </c>
    </row>
    <row r="990" spans="1:9">
      <c r="A990" s="5" t="s">
        <v>327</v>
      </c>
      <c r="B990" s="5" t="s">
        <v>5145</v>
      </c>
      <c r="C990" t="s">
        <v>5146</v>
      </c>
      <c r="D990" t="s">
        <v>327</v>
      </c>
      <c r="E990" t="s">
        <v>327</v>
      </c>
      <c r="F990" t="s">
        <v>327</v>
      </c>
      <c r="G990" t="s">
        <v>327</v>
      </c>
      <c r="H990" t="s">
        <v>327</v>
      </c>
      <c r="I990" t="s">
        <v>2990</v>
      </c>
    </row>
    <row r="991" spans="1:9">
      <c r="A991" s="5" t="s">
        <v>327</v>
      </c>
      <c r="B991" s="5" t="s">
        <v>5147</v>
      </c>
      <c r="C991" t="s">
        <v>5148</v>
      </c>
      <c r="D991" t="s">
        <v>327</v>
      </c>
      <c r="E991" t="s">
        <v>327</v>
      </c>
      <c r="F991" t="s">
        <v>327</v>
      </c>
      <c r="G991" t="s">
        <v>327</v>
      </c>
      <c r="H991" t="s">
        <v>327</v>
      </c>
      <c r="I991" t="s">
        <v>2990</v>
      </c>
    </row>
    <row r="992" spans="1:9">
      <c r="A992" s="5" t="s">
        <v>327</v>
      </c>
      <c r="B992" s="5" t="s">
        <v>5149</v>
      </c>
      <c r="C992" t="s">
        <v>5150</v>
      </c>
      <c r="D992" t="s">
        <v>327</v>
      </c>
      <c r="E992" t="s">
        <v>327</v>
      </c>
      <c r="F992" t="s">
        <v>327</v>
      </c>
      <c r="G992" t="s">
        <v>327</v>
      </c>
      <c r="H992" t="s">
        <v>327</v>
      </c>
      <c r="I992" t="s">
        <v>2990</v>
      </c>
    </row>
    <row r="993" spans="1:9">
      <c r="A993" s="5" t="s">
        <v>327</v>
      </c>
      <c r="B993" s="5" t="s">
        <v>5151</v>
      </c>
      <c r="C993" t="s">
        <v>5152</v>
      </c>
      <c r="D993" t="s">
        <v>327</v>
      </c>
      <c r="E993" t="s">
        <v>327</v>
      </c>
      <c r="F993" t="s">
        <v>327</v>
      </c>
      <c r="G993" t="s">
        <v>327</v>
      </c>
      <c r="H993" t="s">
        <v>327</v>
      </c>
      <c r="I993" t="s">
        <v>2931</v>
      </c>
    </row>
    <row r="994" spans="1:9">
      <c r="A994" s="5" t="s">
        <v>327</v>
      </c>
      <c r="B994" s="5" t="s">
        <v>5153</v>
      </c>
      <c r="C994" t="s">
        <v>5154</v>
      </c>
      <c r="D994" t="s">
        <v>327</v>
      </c>
      <c r="E994" t="s">
        <v>327</v>
      </c>
      <c r="F994" t="s">
        <v>327</v>
      </c>
      <c r="G994" t="s">
        <v>327</v>
      </c>
      <c r="H994" t="s">
        <v>327</v>
      </c>
      <c r="I994" t="s">
        <v>2931</v>
      </c>
    </row>
    <row r="995" spans="1:9">
      <c r="A995" s="5" t="s">
        <v>327</v>
      </c>
      <c r="B995" s="5" t="s">
        <v>5155</v>
      </c>
      <c r="C995" t="s">
        <v>5156</v>
      </c>
      <c r="D995" t="s">
        <v>327</v>
      </c>
      <c r="E995" t="s">
        <v>327</v>
      </c>
      <c r="F995" t="s">
        <v>327</v>
      </c>
      <c r="G995" t="s">
        <v>327</v>
      </c>
      <c r="H995" t="s">
        <v>327</v>
      </c>
      <c r="I995" t="s">
        <v>2931</v>
      </c>
    </row>
    <row r="996" spans="1:9">
      <c r="A996" s="5" t="s">
        <v>327</v>
      </c>
      <c r="B996" s="5" t="s">
        <v>5157</v>
      </c>
      <c r="C996" t="s">
        <v>5158</v>
      </c>
      <c r="D996" t="s">
        <v>327</v>
      </c>
      <c r="E996" t="s">
        <v>327</v>
      </c>
      <c r="F996" t="s">
        <v>327</v>
      </c>
      <c r="G996" t="s">
        <v>327</v>
      </c>
      <c r="H996" t="s">
        <v>327</v>
      </c>
      <c r="I996" t="s">
        <v>2990</v>
      </c>
    </row>
    <row r="997" spans="1:9">
      <c r="A997" s="5" t="s">
        <v>327</v>
      </c>
      <c r="B997" s="5" t="s">
        <v>5159</v>
      </c>
      <c r="C997" t="s">
        <v>5160</v>
      </c>
      <c r="D997" t="s">
        <v>327</v>
      </c>
      <c r="E997" t="s">
        <v>327</v>
      </c>
      <c r="F997" t="s">
        <v>327</v>
      </c>
      <c r="G997" t="s">
        <v>327</v>
      </c>
      <c r="H997" t="s">
        <v>327</v>
      </c>
      <c r="I997" t="s">
        <v>2990</v>
      </c>
    </row>
    <row r="998" spans="1:9">
      <c r="A998" s="5" t="s">
        <v>327</v>
      </c>
      <c r="B998" s="5" t="s">
        <v>5161</v>
      </c>
      <c r="C998" t="s">
        <v>5162</v>
      </c>
      <c r="D998" t="s">
        <v>327</v>
      </c>
      <c r="E998" t="s">
        <v>327</v>
      </c>
      <c r="F998" t="s">
        <v>327</v>
      </c>
      <c r="G998" t="s">
        <v>327</v>
      </c>
      <c r="H998" t="s">
        <v>327</v>
      </c>
      <c r="I998" t="s">
        <v>2931</v>
      </c>
    </row>
    <row r="999" spans="1:9">
      <c r="A999" s="5" t="s">
        <v>327</v>
      </c>
      <c r="B999" s="5" t="s">
        <v>5161</v>
      </c>
      <c r="C999" t="s">
        <v>5163</v>
      </c>
      <c r="D999" t="s">
        <v>327</v>
      </c>
      <c r="E999" t="s">
        <v>327</v>
      </c>
      <c r="F999" t="s">
        <v>327</v>
      </c>
      <c r="G999" t="s">
        <v>327</v>
      </c>
      <c r="H999" t="s">
        <v>327</v>
      </c>
      <c r="I999" t="s">
        <v>2931</v>
      </c>
    </row>
    <row r="1000" spans="1:9">
      <c r="A1000" s="5" t="s">
        <v>327</v>
      </c>
      <c r="B1000" s="5" t="s">
        <v>5164</v>
      </c>
      <c r="C1000" t="s">
        <v>5165</v>
      </c>
      <c r="D1000" t="s">
        <v>327</v>
      </c>
      <c r="E1000" t="s">
        <v>327</v>
      </c>
      <c r="F1000" t="s">
        <v>327</v>
      </c>
      <c r="G1000" t="s">
        <v>327</v>
      </c>
      <c r="H1000" t="s">
        <v>327</v>
      </c>
      <c r="I1000" t="s">
        <v>2990</v>
      </c>
    </row>
    <row r="1001" spans="1:9">
      <c r="A1001" s="5" t="s">
        <v>327</v>
      </c>
      <c r="B1001" s="5" t="s">
        <v>5166</v>
      </c>
      <c r="C1001" t="s">
        <v>5167</v>
      </c>
      <c r="D1001" t="s">
        <v>327</v>
      </c>
      <c r="E1001" t="s">
        <v>327</v>
      </c>
      <c r="F1001" t="s">
        <v>327</v>
      </c>
      <c r="G1001" t="s">
        <v>327</v>
      </c>
      <c r="H1001" t="s">
        <v>327</v>
      </c>
      <c r="I1001" t="s">
        <v>2931</v>
      </c>
    </row>
    <row r="1002" spans="1:9">
      <c r="A1002" s="5" t="s">
        <v>327</v>
      </c>
      <c r="B1002" s="5" t="s">
        <v>5168</v>
      </c>
      <c r="C1002" t="s">
        <v>5169</v>
      </c>
      <c r="D1002" t="s">
        <v>327</v>
      </c>
      <c r="E1002" t="s">
        <v>327</v>
      </c>
      <c r="F1002" t="s">
        <v>327</v>
      </c>
      <c r="G1002" t="s">
        <v>327</v>
      </c>
      <c r="H1002" t="s">
        <v>327</v>
      </c>
      <c r="I1002" t="s">
        <v>2990</v>
      </c>
    </row>
    <row r="1003" spans="1:9">
      <c r="A1003" s="5" t="s">
        <v>327</v>
      </c>
      <c r="B1003" s="5" t="s">
        <v>5170</v>
      </c>
      <c r="C1003" t="s">
        <v>5171</v>
      </c>
      <c r="D1003" t="s">
        <v>327</v>
      </c>
      <c r="E1003" t="s">
        <v>327</v>
      </c>
      <c r="F1003" t="s">
        <v>327</v>
      </c>
      <c r="G1003" t="s">
        <v>327</v>
      </c>
      <c r="H1003" t="s">
        <v>327</v>
      </c>
      <c r="I1003" t="s">
        <v>2931</v>
      </c>
    </row>
    <row r="1004" spans="1:9">
      <c r="A1004" s="5" t="s">
        <v>327</v>
      </c>
      <c r="B1004" s="5" t="s">
        <v>5172</v>
      </c>
      <c r="C1004" t="s">
        <v>5173</v>
      </c>
      <c r="D1004" t="s">
        <v>327</v>
      </c>
      <c r="E1004" t="s">
        <v>327</v>
      </c>
      <c r="F1004" t="s">
        <v>327</v>
      </c>
      <c r="G1004" t="s">
        <v>327</v>
      </c>
      <c r="H1004" t="s">
        <v>327</v>
      </c>
      <c r="I1004" t="s">
        <v>2990</v>
      </c>
    </row>
    <row r="1005" spans="1:9">
      <c r="A1005" s="5" t="s">
        <v>327</v>
      </c>
      <c r="B1005" s="5" t="s">
        <v>5174</v>
      </c>
      <c r="C1005" t="s">
        <v>5175</v>
      </c>
      <c r="D1005" t="s">
        <v>327</v>
      </c>
      <c r="E1005" t="s">
        <v>327</v>
      </c>
      <c r="F1005" t="s">
        <v>327</v>
      </c>
      <c r="G1005" t="s">
        <v>327</v>
      </c>
      <c r="H1005" t="s">
        <v>327</v>
      </c>
      <c r="I1005" t="s">
        <v>2931</v>
      </c>
    </row>
    <row r="1006" spans="1:9">
      <c r="A1006" s="5" t="s">
        <v>327</v>
      </c>
      <c r="B1006" s="5" t="s">
        <v>5176</v>
      </c>
      <c r="C1006" t="s">
        <v>5177</v>
      </c>
      <c r="D1006" t="s">
        <v>327</v>
      </c>
      <c r="E1006" t="s">
        <v>327</v>
      </c>
      <c r="F1006" t="s">
        <v>327</v>
      </c>
      <c r="G1006" t="s">
        <v>327</v>
      </c>
      <c r="H1006" t="s">
        <v>327</v>
      </c>
      <c r="I1006" t="s">
        <v>2931</v>
      </c>
    </row>
    <row r="1007" spans="1:9">
      <c r="A1007" s="5" t="s">
        <v>327</v>
      </c>
      <c r="B1007" s="5" t="s">
        <v>5178</v>
      </c>
      <c r="C1007" t="s">
        <v>5179</v>
      </c>
      <c r="D1007" t="s">
        <v>327</v>
      </c>
      <c r="E1007" t="s">
        <v>327</v>
      </c>
      <c r="F1007" t="s">
        <v>327</v>
      </c>
      <c r="G1007" t="s">
        <v>327</v>
      </c>
      <c r="H1007" t="s">
        <v>327</v>
      </c>
      <c r="I1007" t="s">
        <v>2931</v>
      </c>
    </row>
    <row r="1008" spans="1:9">
      <c r="A1008" s="5" t="s">
        <v>327</v>
      </c>
      <c r="B1008" s="5" t="s">
        <v>5180</v>
      </c>
      <c r="C1008" t="s">
        <v>5181</v>
      </c>
      <c r="D1008" t="s">
        <v>327</v>
      </c>
      <c r="E1008" t="s">
        <v>327</v>
      </c>
      <c r="F1008" t="s">
        <v>327</v>
      </c>
      <c r="G1008" t="s">
        <v>327</v>
      </c>
      <c r="H1008" t="s">
        <v>327</v>
      </c>
      <c r="I1008" t="s">
        <v>2990</v>
      </c>
    </row>
    <row r="1009" spans="1:9">
      <c r="A1009" s="5" t="s">
        <v>327</v>
      </c>
      <c r="B1009" s="5" t="s">
        <v>5182</v>
      </c>
      <c r="C1009" t="s">
        <v>5183</v>
      </c>
      <c r="D1009" t="s">
        <v>327</v>
      </c>
      <c r="E1009" t="s">
        <v>327</v>
      </c>
      <c r="F1009" t="s">
        <v>327</v>
      </c>
      <c r="G1009" t="s">
        <v>327</v>
      </c>
      <c r="H1009" t="s">
        <v>327</v>
      </c>
      <c r="I1009" t="s">
        <v>2931</v>
      </c>
    </row>
    <row r="1010" spans="1:9">
      <c r="A1010" s="5" t="s">
        <v>327</v>
      </c>
      <c r="B1010" s="5" t="s">
        <v>5184</v>
      </c>
      <c r="C1010" t="s">
        <v>5185</v>
      </c>
      <c r="D1010" t="s">
        <v>327</v>
      </c>
      <c r="E1010" t="s">
        <v>327</v>
      </c>
      <c r="F1010" t="s">
        <v>327</v>
      </c>
      <c r="G1010" t="s">
        <v>327</v>
      </c>
      <c r="H1010" t="s">
        <v>327</v>
      </c>
      <c r="I1010" t="s">
        <v>2990</v>
      </c>
    </row>
    <row r="1011" spans="1:9">
      <c r="A1011" s="5" t="s">
        <v>327</v>
      </c>
      <c r="B1011" s="5" t="s">
        <v>5186</v>
      </c>
      <c r="C1011" t="s">
        <v>5187</v>
      </c>
      <c r="D1011" t="s">
        <v>327</v>
      </c>
      <c r="E1011" t="s">
        <v>327</v>
      </c>
      <c r="F1011" t="s">
        <v>327</v>
      </c>
      <c r="G1011" t="s">
        <v>327</v>
      </c>
      <c r="H1011" t="s">
        <v>327</v>
      </c>
      <c r="I1011" t="s">
        <v>2990</v>
      </c>
    </row>
    <row r="1012" spans="1:9">
      <c r="A1012" s="5" t="s">
        <v>327</v>
      </c>
      <c r="B1012" s="5" t="s">
        <v>5188</v>
      </c>
      <c r="C1012" t="s">
        <v>5189</v>
      </c>
      <c r="D1012" t="s">
        <v>327</v>
      </c>
      <c r="E1012" t="s">
        <v>327</v>
      </c>
      <c r="F1012" t="s">
        <v>327</v>
      </c>
      <c r="G1012" t="s">
        <v>327</v>
      </c>
      <c r="H1012" t="s">
        <v>327</v>
      </c>
      <c r="I1012" t="s">
        <v>2931</v>
      </c>
    </row>
    <row r="1013" spans="1:9">
      <c r="A1013" s="5" t="s">
        <v>327</v>
      </c>
      <c r="B1013" s="5" t="s">
        <v>5190</v>
      </c>
      <c r="C1013" t="s">
        <v>5191</v>
      </c>
      <c r="D1013" t="s">
        <v>327</v>
      </c>
      <c r="E1013" t="s">
        <v>327</v>
      </c>
      <c r="F1013" t="s">
        <v>327</v>
      </c>
      <c r="G1013" t="s">
        <v>327</v>
      </c>
      <c r="H1013" t="s">
        <v>327</v>
      </c>
      <c r="I1013" t="s">
        <v>2990</v>
      </c>
    </row>
    <row r="1014" spans="1:9">
      <c r="A1014" s="5" t="s">
        <v>327</v>
      </c>
      <c r="B1014" s="5" t="s">
        <v>4804</v>
      </c>
      <c r="C1014" t="s">
        <v>5192</v>
      </c>
      <c r="D1014" t="s">
        <v>327</v>
      </c>
      <c r="E1014" t="s">
        <v>327</v>
      </c>
      <c r="F1014" t="s">
        <v>327</v>
      </c>
      <c r="G1014" t="s">
        <v>327</v>
      </c>
      <c r="H1014" t="s">
        <v>327</v>
      </c>
      <c r="I1014" t="s">
        <v>2990</v>
      </c>
    </row>
    <row r="1015" spans="1:9">
      <c r="A1015" s="5" t="s">
        <v>327</v>
      </c>
      <c r="B1015" s="5" t="s">
        <v>5193</v>
      </c>
      <c r="C1015" t="s">
        <v>5194</v>
      </c>
      <c r="D1015" t="s">
        <v>327</v>
      </c>
      <c r="E1015" t="s">
        <v>327</v>
      </c>
      <c r="F1015" t="s">
        <v>327</v>
      </c>
      <c r="G1015" t="s">
        <v>327</v>
      </c>
      <c r="H1015" t="s">
        <v>327</v>
      </c>
      <c r="I1015" t="s">
        <v>2931</v>
      </c>
    </row>
    <row r="1016" spans="1:9">
      <c r="A1016" s="5" t="s">
        <v>327</v>
      </c>
      <c r="B1016" s="5" t="s">
        <v>5195</v>
      </c>
      <c r="C1016" t="s">
        <v>5196</v>
      </c>
      <c r="D1016" t="s">
        <v>327</v>
      </c>
      <c r="E1016" t="s">
        <v>327</v>
      </c>
      <c r="F1016" t="s">
        <v>327</v>
      </c>
      <c r="G1016" t="s">
        <v>327</v>
      </c>
      <c r="H1016" t="s">
        <v>327</v>
      </c>
      <c r="I1016" t="s">
        <v>2931</v>
      </c>
    </row>
    <row r="1017" spans="1:9">
      <c r="A1017" s="5" t="s">
        <v>327</v>
      </c>
      <c r="B1017" s="5" t="s">
        <v>5197</v>
      </c>
      <c r="C1017" t="s">
        <v>5198</v>
      </c>
      <c r="D1017" t="s">
        <v>327</v>
      </c>
      <c r="E1017" t="s">
        <v>327</v>
      </c>
      <c r="F1017" t="s">
        <v>327</v>
      </c>
      <c r="G1017" t="s">
        <v>327</v>
      </c>
      <c r="H1017" t="s">
        <v>327</v>
      </c>
      <c r="I1017" t="s">
        <v>2931</v>
      </c>
    </row>
    <row r="1018" spans="1:9">
      <c r="A1018" s="5" t="s">
        <v>327</v>
      </c>
      <c r="B1018" s="5" t="s">
        <v>5199</v>
      </c>
      <c r="C1018" t="s">
        <v>5200</v>
      </c>
      <c r="D1018" t="s">
        <v>327</v>
      </c>
      <c r="E1018" t="s">
        <v>327</v>
      </c>
      <c r="F1018" t="s">
        <v>327</v>
      </c>
      <c r="G1018" t="s">
        <v>327</v>
      </c>
      <c r="H1018" t="s">
        <v>327</v>
      </c>
      <c r="I1018" t="s">
        <v>2931</v>
      </c>
    </row>
    <row r="1019" spans="1:9">
      <c r="A1019" s="5" t="s">
        <v>327</v>
      </c>
      <c r="B1019" s="5" t="s">
        <v>5201</v>
      </c>
      <c r="C1019" t="s">
        <v>5202</v>
      </c>
      <c r="D1019" t="s">
        <v>327</v>
      </c>
      <c r="E1019" t="s">
        <v>327</v>
      </c>
      <c r="F1019" t="s">
        <v>327</v>
      </c>
      <c r="G1019" t="s">
        <v>327</v>
      </c>
      <c r="H1019" t="s">
        <v>327</v>
      </c>
      <c r="I1019" t="s">
        <v>2990</v>
      </c>
    </row>
    <row r="1020" spans="1:9">
      <c r="A1020" s="5" t="s">
        <v>327</v>
      </c>
      <c r="B1020" s="5" t="s">
        <v>5203</v>
      </c>
      <c r="C1020" t="s">
        <v>5204</v>
      </c>
      <c r="D1020" t="s">
        <v>327</v>
      </c>
      <c r="E1020" t="s">
        <v>327</v>
      </c>
      <c r="F1020" t="s">
        <v>327</v>
      </c>
      <c r="G1020" t="s">
        <v>327</v>
      </c>
      <c r="H1020" t="s">
        <v>327</v>
      </c>
      <c r="I1020" t="s">
        <v>2931</v>
      </c>
    </row>
    <row r="1021" spans="1:9">
      <c r="A1021" s="5" t="s">
        <v>327</v>
      </c>
      <c r="B1021" s="5" t="s">
        <v>5205</v>
      </c>
      <c r="C1021" t="s">
        <v>5206</v>
      </c>
      <c r="D1021" t="s">
        <v>327</v>
      </c>
      <c r="E1021" t="s">
        <v>327</v>
      </c>
      <c r="F1021" t="s">
        <v>327</v>
      </c>
      <c r="G1021" t="s">
        <v>327</v>
      </c>
      <c r="H1021" t="s">
        <v>327</v>
      </c>
      <c r="I1021" t="s">
        <v>2931</v>
      </c>
    </row>
    <row r="1022" spans="1:9">
      <c r="A1022" s="5" t="s">
        <v>327</v>
      </c>
      <c r="B1022" s="5" t="s">
        <v>5207</v>
      </c>
      <c r="C1022" t="s">
        <v>5208</v>
      </c>
      <c r="D1022" t="s">
        <v>327</v>
      </c>
      <c r="E1022" t="s">
        <v>327</v>
      </c>
      <c r="F1022" t="s">
        <v>327</v>
      </c>
      <c r="G1022" t="s">
        <v>327</v>
      </c>
      <c r="H1022" t="s">
        <v>327</v>
      </c>
      <c r="I1022" t="s">
        <v>2931</v>
      </c>
    </row>
    <row r="1023" spans="1:9">
      <c r="A1023" s="5" t="s">
        <v>327</v>
      </c>
      <c r="B1023" s="5" t="s">
        <v>5201</v>
      </c>
      <c r="C1023" t="s">
        <v>5209</v>
      </c>
      <c r="D1023" t="s">
        <v>327</v>
      </c>
      <c r="E1023" t="s">
        <v>327</v>
      </c>
      <c r="F1023" t="s">
        <v>327</v>
      </c>
      <c r="G1023" t="s">
        <v>327</v>
      </c>
      <c r="H1023" t="s">
        <v>327</v>
      </c>
      <c r="I1023" t="s">
        <v>2990</v>
      </c>
    </row>
    <row r="1024" spans="1:9">
      <c r="A1024" s="5" t="s">
        <v>327</v>
      </c>
      <c r="B1024" s="5" t="s">
        <v>5210</v>
      </c>
      <c r="C1024" t="s">
        <v>5211</v>
      </c>
      <c r="D1024" t="s">
        <v>327</v>
      </c>
      <c r="E1024" t="s">
        <v>327</v>
      </c>
      <c r="F1024" t="s">
        <v>327</v>
      </c>
      <c r="G1024" t="s">
        <v>327</v>
      </c>
      <c r="H1024" t="s">
        <v>327</v>
      </c>
      <c r="I1024" t="s">
        <v>2931</v>
      </c>
    </row>
    <row r="1025" spans="1:9">
      <c r="A1025" s="5" t="s">
        <v>327</v>
      </c>
      <c r="B1025" s="5" t="s">
        <v>5212</v>
      </c>
      <c r="C1025" t="s">
        <v>5213</v>
      </c>
      <c r="D1025" t="s">
        <v>327</v>
      </c>
      <c r="E1025" t="s">
        <v>327</v>
      </c>
      <c r="F1025" t="s">
        <v>327</v>
      </c>
      <c r="G1025" t="s">
        <v>327</v>
      </c>
      <c r="H1025" t="s">
        <v>327</v>
      </c>
      <c r="I1025" t="s">
        <v>2990</v>
      </c>
    </row>
    <row r="1026" spans="1:9">
      <c r="A1026" s="5" t="s">
        <v>327</v>
      </c>
      <c r="B1026" s="5" t="s">
        <v>5214</v>
      </c>
      <c r="C1026" t="s">
        <v>5215</v>
      </c>
      <c r="D1026" t="s">
        <v>327</v>
      </c>
      <c r="E1026" t="s">
        <v>327</v>
      </c>
      <c r="F1026" t="s">
        <v>327</v>
      </c>
      <c r="G1026" t="s">
        <v>327</v>
      </c>
      <c r="H1026" t="s">
        <v>327</v>
      </c>
      <c r="I1026" t="s">
        <v>2990</v>
      </c>
    </row>
    <row r="1027" spans="1:9">
      <c r="A1027" s="5" t="s">
        <v>327</v>
      </c>
      <c r="B1027" s="5" t="s">
        <v>5216</v>
      </c>
      <c r="C1027" t="s">
        <v>5217</v>
      </c>
      <c r="D1027" t="s">
        <v>327</v>
      </c>
      <c r="E1027" t="s">
        <v>327</v>
      </c>
      <c r="F1027" t="s">
        <v>327</v>
      </c>
      <c r="G1027" t="s">
        <v>327</v>
      </c>
      <c r="H1027" t="s">
        <v>327</v>
      </c>
      <c r="I1027" t="s">
        <v>2990</v>
      </c>
    </row>
    <row r="1028" spans="1:9">
      <c r="A1028" s="5" t="s">
        <v>327</v>
      </c>
      <c r="B1028" s="5" t="s">
        <v>5218</v>
      </c>
      <c r="C1028" t="s">
        <v>5219</v>
      </c>
      <c r="D1028" t="s">
        <v>327</v>
      </c>
      <c r="E1028" t="s">
        <v>327</v>
      </c>
      <c r="F1028" t="s">
        <v>327</v>
      </c>
      <c r="G1028" t="s">
        <v>327</v>
      </c>
      <c r="H1028" t="s">
        <v>327</v>
      </c>
      <c r="I1028" t="s">
        <v>2931</v>
      </c>
    </row>
    <row r="1029" spans="1:9">
      <c r="A1029" s="5" t="s">
        <v>327</v>
      </c>
      <c r="B1029" s="5" t="s">
        <v>5220</v>
      </c>
      <c r="C1029" t="s">
        <v>5221</v>
      </c>
      <c r="D1029" t="s">
        <v>327</v>
      </c>
      <c r="E1029" t="s">
        <v>327</v>
      </c>
      <c r="F1029" t="s">
        <v>327</v>
      </c>
      <c r="G1029" t="s">
        <v>327</v>
      </c>
      <c r="H1029" t="s">
        <v>327</v>
      </c>
      <c r="I1029" t="s">
        <v>2990</v>
      </c>
    </row>
    <row r="1030" spans="1:9">
      <c r="A1030" s="5" t="s">
        <v>327</v>
      </c>
      <c r="B1030" s="5" t="s">
        <v>5222</v>
      </c>
      <c r="C1030" t="s">
        <v>5223</v>
      </c>
      <c r="D1030" t="s">
        <v>327</v>
      </c>
      <c r="E1030" t="s">
        <v>327</v>
      </c>
      <c r="F1030" t="s">
        <v>327</v>
      </c>
      <c r="G1030" t="s">
        <v>327</v>
      </c>
      <c r="H1030" t="s">
        <v>327</v>
      </c>
      <c r="I1030" t="s">
        <v>2990</v>
      </c>
    </row>
    <row r="1031" spans="1:9">
      <c r="A1031" s="5" t="s">
        <v>327</v>
      </c>
      <c r="B1031" s="5" t="s">
        <v>5224</v>
      </c>
      <c r="C1031" t="s">
        <v>5225</v>
      </c>
      <c r="D1031" t="s">
        <v>327</v>
      </c>
      <c r="E1031" t="s">
        <v>327</v>
      </c>
      <c r="F1031" t="s">
        <v>327</v>
      </c>
      <c r="G1031" t="s">
        <v>327</v>
      </c>
      <c r="H1031" t="s">
        <v>327</v>
      </c>
      <c r="I1031" t="s">
        <v>2990</v>
      </c>
    </row>
    <row r="1032" spans="1:9">
      <c r="A1032" s="5" t="s">
        <v>327</v>
      </c>
      <c r="B1032" s="5" t="s">
        <v>5226</v>
      </c>
      <c r="C1032" t="s">
        <v>5227</v>
      </c>
      <c r="D1032" t="s">
        <v>327</v>
      </c>
      <c r="E1032" t="s">
        <v>327</v>
      </c>
      <c r="F1032" t="s">
        <v>327</v>
      </c>
      <c r="G1032" t="s">
        <v>327</v>
      </c>
      <c r="H1032" t="s">
        <v>327</v>
      </c>
      <c r="I1032" t="s">
        <v>2990</v>
      </c>
    </row>
    <row r="1033" spans="1:9">
      <c r="A1033" s="5" t="s">
        <v>327</v>
      </c>
      <c r="B1033" s="5" t="s">
        <v>5228</v>
      </c>
      <c r="C1033" t="s">
        <v>5229</v>
      </c>
      <c r="D1033" t="s">
        <v>327</v>
      </c>
      <c r="E1033" t="s">
        <v>327</v>
      </c>
      <c r="F1033" t="s">
        <v>327</v>
      </c>
      <c r="G1033" t="s">
        <v>327</v>
      </c>
      <c r="H1033" t="s">
        <v>327</v>
      </c>
      <c r="I1033" t="s">
        <v>2931</v>
      </c>
    </row>
    <row r="1034" spans="1:9">
      <c r="A1034" s="5" t="s">
        <v>327</v>
      </c>
      <c r="B1034" s="5" t="s">
        <v>5230</v>
      </c>
      <c r="C1034" t="s">
        <v>5231</v>
      </c>
      <c r="D1034" t="s">
        <v>327</v>
      </c>
      <c r="E1034" t="s">
        <v>327</v>
      </c>
      <c r="F1034" t="s">
        <v>327</v>
      </c>
      <c r="G1034" t="s">
        <v>327</v>
      </c>
      <c r="H1034" t="s">
        <v>327</v>
      </c>
      <c r="I1034" t="s">
        <v>2931</v>
      </c>
    </row>
    <row r="1035" spans="1:9">
      <c r="A1035" s="5" t="s">
        <v>327</v>
      </c>
      <c r="B1035" s="5" t="s">
        <v>5232</v>
      </c>
      <c r="C1035" t="s">
        <v>5233</v>
      </c>
      <c r="D1035" t="s">
        <v>327</v>
      </c>
      <c r="E1035" t="s">
        <v>327</v>
      </c>
      <c r="F1035" t="s">
        <v>327</v>
      </c>
      <c r="G1035" t="s">
        <v>327</v>
      </c>
      <c r="H1035" t="s">
        <v>327</v>
      </c>
      <c r="I1035" t="s">
        <v>2990</v>
      </c>
    </row>
    <row r="1036" spans="1:9">
      <c r="A1036" s="5" t="s">
        <v>327</v>
      </c>
      <c r="B1036" s="5" t="s">
        <v>5234</v>
      </c>
      <c r="C1036" t="s">
        <v>5235</v>
      </c>
      <c r="D1036" t="s">
        <v>327</v>
      </c>
      <c r="E1036" t="s">
        <v>327</v>
      </c>
      <c r="F1036" t="s">
        <v>327</v>
      </c>
      <c r="G1036" t="s">
        <v>327</v>
      </c>
      <c r="H1036" t="s">
        <v>327</v>
      </c>
      <c r="I1036" t="s">
        <v>2990</v>
      </c>
    </row>
    <row r="1037" spans="1:9">
      <c r="A1037" s="5" t="s">
        <v>327</v>
      </c>
      <c r="B1037" s="5" t="s">
        <v>5236</v>
      </c>
      <c r="C1037" t="s">
        <v>5237</v>
      </c>
      <c r="D1037" t="s">
        <v>327</v>
      </c>
      <c r="E1037" t="s">
        <v>327</v>
      </c>
      <c r="F1037" t="s">
        <v>327</v>
      </c>
      <c r="G1037" t="s">
        <v>327</v>
      </c>
      <c r="H1037" t="s">
        <v>327</v>
      </c>
      <c r="I1037" t="s">
        <v>2931</v>
      </c>
    </row>
    <row r="1038" spans="1:9">
      <c r="A1038" s="5" t="s">
        <v>327</v>
      </c>
      <c r="B1038" s="5" t="s">
        <v>5238</v>
      </c>
      <c r="C1038" t="s">
        <v>5239</v>
      </c>
      <c r="D1038" t="s">
        <v>327</v>
      </c>
      <c r="E1038" t="s">
        <v>327</v>
      </c>
      <c r="F1038" t="s">
        <v>327</v>
      </c>
      <c r="G1038" t="s">
        <v>327</v>
      </c>
      <c r="H1038" t="s">
        <v>327</v>
      </c>
      <c r="I1038" t="s">
        <v>2931</v>
      </c>
    </row>
    <row r="1039" spans="1:9">
      <c r="A1039" s="5" t="s">
        <v>327</v>
      </c>
      <c r="B1039" s="5" t="s">
        <v>5240</v>
      </c>
      <c r="C1039" t="s">
        <v>5241</v>
      </c>
      <c r="D1039" t="s">
        <v>327</v>
      </c>
      <c r="E1039" t="s">
        <v>327</v>
      </c>
      <c r="F1039" t="s">
        <v>327</v>
      </c>
      <c r="G1039" t="s">
        <v>327</v>
      </c>
      <c r="H1039" t="s">
        <v>327</v>
      </c>
      <c r="I1039" t="s">
        <v>2990</v>
      </c>
    </row>
    <row r="1040" spans="1:9">
      <c r="A1040" s="5" t="s">
        <v>327</v>
      </c>
      <c r="B1040" s="5" t="s">
        <v>5242</v>
      </c>
      <c r="C1040" t="s">
        <v>5243</v>
      </c>
      <c r="D1040" t="s">
        <v>327</v>
      </c>
      <c r="E1040" t="s">
        <v>327</v>
      </c>
      <c r="F1040" t="s">
        <v>327</v>
      </c>
      <c r="G1040" t="s">
        <v>327</v>
      </c>
      <c r="H1040" t="s">
        <v>327</v>
      </c>
      <c r="I1040" t="s">
        <v>2990</v>
      </c>
    </row>
    <row r="1041" spans="1:9">
      <c r="A1041" s="5" t="s">
        <v>327</v>
      </c>
      <c r="B1041" s="5" t="s">
        <v>5244</v>
      </c>
      <c r="C1041" t="s">
        <v>5245</v>
      </c>
      <c r="D1041" t="s">
        <v>327</v>
      </c>
      <c r="E1041" t="s">
        <v>327</v>
      </c>
      <c r="F1041" t="s">
        <v>327</v>
      </c>
      <c r="G1041" t="s">
        <v>327</v>
      </c>
      <c r="H1041" t="s">
        <v>327</v>
      </c>
      <c r="I1041" t="s">
        <v>2990</v>
      </c>
    </row>
    <row r="1042" spans="1:9">
      <c r="A1042" s="5" t="s">
        <v>327</v>
      </c>
      <c r="B1042" s="5" t="s">
        <v>5246</v>
      </c>
      <c r="C1042" t="s">
        <v>5247</v>
      </c>
      <c r="D1042" t="s">
        <v>327</v>
      </c>
      <c r="E1042" t="s">
        <v>327</v>
      </c>
      <c r="F1042" t="s">
        <v>327</v>
      </c>
      <c r="G1042" t="s">
        <v>327</v>
      </c>
      <c r="H1042" t="s">
        <v>327</v>
      </c>
      <c r="I1042" t="s">
        <v>2990</v>
      </c>
    </row>
    <row r="1043" spans="1:9">
      <c r="A1043" s="5" t="s">
        <v>327</v>
      </c>
      <c r="B1043" s="5" t="s">
        <v>5248</v>
      </c>
      <c r="C1043" t="s">
        <v>5249</v>
      </c>
      <c r="D1043" t="s">
        <v>327</v>
      </c>
      <c r="E1043" t="s">
        <v>327</v>
      </c>
      <c r="F1043" t="s">
        <v>327</v>
      </c>
      <c r="G1043" t="s">
        <v>327</v>
      </c>
      <c r="H1043" t="s">
        <v>327</v>
      </c>
      <c r="I1043" t="s">
        <v>2931</v>
      </c>
    </row>
    <row r="1044" spans="1:9">
      <c r="A1044" s="5" t="s">
        <v>327</v>
      </c>
      <c r="B1044" s="5" t="s">
        <v>5250</v>
      </c>
      <c r="C1044" t="s">
        <v>5251</v>
      </c>
      <c r="D1044" t="s">
        <v>327</v>
      </c>
      <c r="E1044" t="s">
        <v>327</v>
      </c>
      <c r="F1044" t="s">
        <v>327</v>
      </c>
      <c r="G1044" t="s">
        <v>327</v>
      </c>
      <c r="H1044" t="s">
        <v>327</v>
      </c>
      <c r="I1044" t="s">
        <v>2990</v>
      </c>
    </row>
    <row r="1045" spans="1:9">
      <c r="A1045" s="5" t="s">
        <v>327</v>
      </c>
      <c r="B1045" s="5" t="s">
        <v>5252</v>
      </c>
      <c r="C1045" t="s">
        <v>5253</v>
      </c>
      <c r="D1045" t="s">
        <v>327</v>
      </c>
      <c r="E1045" t="s">
        <v>327</v>
      </c>
      <c r="F1045" t="s">
        <v>327</v>
      </c>
      <c r="G1045" t="s">
        <v>327</v>
      </c>
      <c r="H1045" t="s">
        <v>327</v>
      </c>
      <c r="I1045" t="s">
        <v>2990</v>
      </c>
    </row>
    <row r="1046" spans="1:9">
      <c r="A1046" s="5" t="s">
        <v>327</v>
      </c>
      <c r="B1046" s="5" t="s">
        <v>5254</v>
      </c>
      <c r="C1046" t="s">
        <v>5255</v>
      </c>
      <c r="D1046" t="s">
        <v>327</v>
      </c>
      <c r="E1046" t="s">
        <v>327</v>
      </c>
      <c r="F1046" t="s">
        <v>327</v>
      </c>
      <c r="G1046" t="s">
        <v>327</v>
      </c>
      <c r="H1046" t="s">
        <v>327</v>
      </c>
      <c r="I1046" t="s">
        <v>2931</v>
      </c>
    </row>
    <row r="1047" spans="1:9">
      <c r="A1047" s="5" t="s">
        <v>327</v>
      </c>
      <c r="B1047" s="5" t="s">
        <v>5256</v>
      </c>
      <c r="C1047" t="s">
        <v>5257</v>
      </c>
      <c r="D1047" t="s">
        <v>327</v>
      </c>
      <c r="E1047" t="s">
        <v>327</v>
      </c>
      <c r="F1047" t="s">
        <v>327</v>
      </c>
      <c r="G1047" t="s">
        <v>327</v>
      </c>
      <c r="H1047" t="s">
        <v>327</v>
      </c>
      <c r="I1047" t="s">
        <v>2990</v>
      </c>
    </row>
    <row r="1048" spans="1:9">
      <c r="A1048" s="5" t="s">
        <v>327</v>
      </c>
      <c r="B1048" s="5" t="s">
        <v>5258</v>
      </c>
      <c r="C1048" t="s">
        <v>5259</v>
      </c>
      <c r="D1048" t="s">
        <v>327</v>
      </c>
      <c r="E1048" t="s">
        <v>327</v>
      </c>
      <c r="F1048" t="s">
        <v>327</v>
      </c>
      <c r="G1048" t="s">
        <v>327</v>
      </c>
      <c r="H1048" t="s">
        <v>327</v>
      </c>
      <c r="I1048" t="s">
        <v>2931</v>
      </c>
    </row>
    <row r="1049" spans="1:9">
      <c r="A1049" s="5" t="s">
        <v>327</v>
      </c>
      <c r="B1049" s="5" t="s">
        <v>5260</v>
      </c>
      <c r="C1049" t="s">
        <v>5261</v>
      </c>
      <c r="D1049" t="s">
        <v>327</v>
      </c>
      <c r="E1049" t="s">
        <v>327</v>
      </c>
      <c r="F1049" t="s">
        <v>327</v>
      </c>
      <c r="G1049" t="s">
        <v>327</v>
      </c>
      <c r="H1049" t="s">
        <v>327</v>
      </c>
      <c r="I1049" t="s">
        <v>2931</v>
      </c>
    </row>
    <row r="1050" spans="1:9">
      <c r="A1050" s="5" t="s">
        <v>327</v>
      </c>
      <c r="B1050" s="5" t="s">
        <v>5262</v>
      </c>
      <c r="C1050" t="s">
        <v>5263</v>
      </c>
      <c r="D1050" t="s">
        <v>327</v>
      </c>
      <c r="E1050" t="s">
        <v>327</v>
      </c>
      <c r="F1050" t="s">
        <v>327</v>
      </c>
      <c r="G1050" t="s">
        <v>327</v>
      </c>
      <c r="H1050" t="s">
        <v>327</v>
      </c>
      <c r="I1050" t="s">
        <v>2990</v>
      </c>
    </row>
    <row r="1051" spans="1:9">
      <c r="A1051" s="5" t="s">
        <v>327</v>
      </c>
      <c r="B1051" s="5" t="s">
        <v>5264</v>
      </c>
      <c r="C1051" t="s">
        <v>5265</v>
      </c>
      <c r="D1051" t="s">
        <v>327</v>
      </c>
      <c r="E1051" t="s">
        <v>327</v>
      </c>
      <c r="F1051" t="s">
        <v>327</v>
      </c>
      <c r="G1051" t="s">
        <v>327</v>
      </c>
      <c r="H1051" t="s">
        <v>327</v>
      </c>
      <c r="I1051" t="s">
        <v>2990</v>
      </c>
    </row>
    <row r="1052" spans="1:9">
      <c r="A1052" s="5" t="s">
        <v>327</v>
      </c>
      <c r="B1052" s="5" t="s">
        <v>5266</v>
      </c>
      <c r="C1052" t="s">
        <v>5267</v>
      </c>
      <c r="D1052" t="s">
        <v>327</v>
      </c>
      <c r="E1052" t="s">
        <v>327</v>
      </c>
      <c r="F1052" t="s">
        <v>327</v>
      </c>
      <c r="G1052" t="s">
        <v>327</v>
      </c>
      <c r="H1052" t="s">
        <v>327</v>
      </c>
      <c r="I1052" t="s">
        <v>4546</v>
      </c>
    </row>
    <row r="1053" spans="1:9">
      <c r="A1053" s="5" t="s">
        <v>327</v>
      </c>
      <c r="B1053" s="5" t="s">
        <v>5268</v>
      </c>
      <c r="C1053" t="s">
        <v>5269</v>
      </c>
      <c r="D1053" t="s">
        <v>327</v>
      </c>
      <c r="E1053" t="s">
        <v>327</v>
      </c>
      <c r="F1053" t="s">
        <v>327</v>
      </c>
      <c r="G1053" t="s">
        <v>327</v>
      </c>
      <c r="H1053" t="s">
        <v>327</v>
      </c>
      <c r="I1053" t="s">
        <v>2946</v>
      </c>
    </row>
    <row r="1054" spans="1:9">
      <c r="A1054" s="5" t="s">
        <v>327</v>
      </c>
      <c r="B1054" s="5" t="s">
        <v>5270</v>
      </c>
      <c r="C1054" t="s">
        <v>5271</v>
      </c>
      <c r="D1054" t="s">
        <v>327</v>
      </c>
      <c r="E1054" t="s">
        <v>327</v>
      </c>
      <c r="F1054" t="s">
        <v>327</v>
      </c>
      <c r="G1054" t="s">
        <v>327</v>
      </c>
      <c r="H1054" t="s">
        <v>327</v>
      </c>
      <c r="I1054" t="s">
        <v>2931</v>
      </c>
    </row>
    <row r="1055" spans="1:9">
      <c r="A1055" s="5" t="s">
        <v>327</v>
      </c>
      <c r="B1055" s="5" t="s">
        <v>5272</v>
      </c>
      <c r="C1055" t="s">
        <v>5273</v>
      </c>
      <c r="D1055" t="s">
        <v>327</v>
      </c>
      <c r="E1055" t="s">
        <v>327</v>
      </c>
      <c r="F1055" t="s">
        <v>327</v>
      </c>
      <c r="G1055" t="s">
        <v>327</v>
      </c>
      <c r="H1055" t="s">
        <v>327</v>
      </c>
      <c r="I1055" t="s">
        <v>2931</v>
      </c>
    </row>
    <row r="1056" spans="1:9">
      <c r="A1056" s="5" t="s">
        <v>327</v>
      </c>
      <c r="B1056" s="5" t="s">
        <v>5274</v>
      </c>
      <c r="C1056" t="s">
        <v>5275</v>
      </c>
      <c r="D1056" t="s">
        <v>327</v>
      </c>
      <c r="E1056" t="s">
        <v>327</v>
      </c>
      <c r="F1056" t="s">
        <v>327</v>
      </c>
      <c r="G1056" t="s">
        <v>327</v>
      </c>
      <c r="H1056" t="s">
        <v>327</v>
      </c>
      <c r="I1056" t="s">
        <v>2931</v>
      </c>
    </row>
    <row r="1057" spans="1:9">
      <c r="A1057" s="5" t="s">
        <v>327</v>
      </c>
      <c r="B1057" s="5" t="s">
        <v>5276</v>
      </c>
      <c r="C1057" t="s">
        <v>5277</v>
      </c>
      <c r="D1057" t="s">
        <v>327</v>
      </c>
      <c r="E1057" t="s">
        <v>327</v>
      </c>
      <c r="F1057" t="s">
        <v>327</v>
      </c>
      <c r="G1057" t="s">
        <v>327</v>
      </c>
      <c r="H1057" t="s">
        <v>327</v>
      </c>
      <c r="I1057" t="s">
        <v>2990</v>
      </c>
    </row>
    <row r="1058" spans="1:9">
      <c r="A1058" s="5" t="s">
        <v>327</v>
      </c>
      <c r="B1058" s="5" t="s">
        <v>5278</v>
      </c>
      <c r="C1058" t="s">
        <v>5279</v>
      </c>
      <c r="D1058" t="s">
        <v>327</v>
      </c>
      <c r="E1058" t="s">
        <v>327</v>
      </c>
      <c r="F1058" t="s">
        <v>327</v>
      </c>
      <c r="G1058" t="s">
        <v>327</v>
      </c>
      <c r="H1058" t="s">
        <v>327</v>
      </c>
      <c r="I1058" t="s">
        <v>4546</v>
      </c>
    </row>
    <row r="1059" spans="1:9">
      <c r="A1059" s="5" t="s">
        <v>327</v>
      </c>
      <c r="B1059" s="5" t="s">
        <v>5280</v>
      </c>
      <c r="C1059" t="s">
        <v>5281</v>
      </c>
      <c r="D1059" t="s">
        <v>327</v>
      </c>
      <c r="E1059" t="s">
        <v>327</v>
      </c>
      <c r="F1059" t="s">
        <v>327</v>
      </c>
      <c r="G1059" t="s">
        <v>327</v>
      </c>
      <c r="H1059" t="s">
        <v>327</v>
      </c>
      <c r="I1059" t="s">
        <v>2931</v>
      </c>
    </row>
    <row r="1060" spans="1:9">
      <c r="A1060" s="5" t="s">
        <v>327</v>
      </c>
      <c r="B1060" s="5" t="s">
        <v>5282</v>
      </c>
      <c r="C1060" t="s">
        <v>5283</v>
      </c>
      <c r="D1060" t="s">
        <v>327</v>
      </c>
      <c r="E1060" t="s">
        <v>327</v>
      </c>
      <c r="F1060" t="s">
        <v>327</v>
      </c>
      <c r="G1060" t="s">
        <v>327</v>
      </c>
      <c r="H1060" t="s">
        <v>327</v>
      </c>
      <c r="I1060" t="s">
        <v>2931</v>
      </c>
    </row>
    <row r="1061" spans="1:9">
      <c r="A1061" s="5" t="s">
        <v>327</v>
      </c>
      <c r="B1061" s="5" t="s">
        <v>5284</v>
      </c>
      <c r="C1061" t="s">
        <v>5285</v>
      </c>
      <c r="D1061" t="s">
        <v>327</v>
      </c>
      <c r="E1061" t="s">
        <v>327</v>
      </c>
      <c r="F1061" t="s">
        <v>327</v>
      </c>
      <c r="G1061" t="s">
        <v>327</v>
      </c>
      <c r="H1061" t="s">
        <v>327</v>
      </c>
      <c r="I1061" t="s">
        <v>4306</v>
      </c>
    </row>
    <row r="1062" spans="1:9">
      <c r="A1062" s="5" t="s">
        <v>327</v>
      </c>
      <c r="B1062" s="5" t="s">
        <v>5286</v>
      </c>
      <c r="C1062" t="s">
        <v>5287</v>
      </c>
      <c r="D1062" t="s">
        <v>327</v>
      </c>
      <c r="E1062" t="s">
        <v>327</v>
      </c>
      <c r="F1062" t="s">
        <v>327</v>
      </c>
      <c r="G1062" t="s">
        <v>327</v>
      </c>
      <c r="H1062" t="s">
        <v>327</v>
      </c>
      <c r="I1062" t="s">
        <v>2990</v>
      </c>
    </row>
    <row r="1063" spans="1:9">
      <c r="A1063" s="5" t="s">
        <v>327</v>
      </c>
      <c r="B1063" s="5" t="s">
        <v>5288</v>
      </c>
      <c r="C1063" t="s">
        <v>5289</v>
      </c>
      <c r="D1063" t="s">
        <v>327</v>
      </c>
      <c r="E1063" t="s">
        <v>327</v>
      </c>
      <c r="F1063" t="s">
        <v>327</v>
      </c>
      <c r="G1063" t="s">
        <v>327</v>
      </c>
      <c r="H1063" t="s">
        <v>327</v>
      </c>
      <c r="I1063" t="s">
        <v>2931</v>
      </c>
    </row>
    <row r="1064" spans="1:9">
      <c r="A1064" s="5" t="s">
        <v>327</v>
      </c>
      <c r="B1064" s="5" t="s">
        <v>5290</v>
      </c>
      <c r="C1064" t="s">
        <v>5291</v>
      </c>
      <c r="D1064" t="s">
        <v>327</v>
      </c>
      <c r="E1064" t="s">
        <v>327</v>
      </c>
      <c r="F1064" t="s">
        <v>327</v>
      </c>
      <c r="G1064" t="s">
        <v>327</v>
      </c>
      <c r="H1064" t="s">
        <v>327</v>
      </c>
      <c r="I1064" t="s">
        <v>2990</v>
      </c>
    </row>
    <row r="1065" spans="1:9">
      <c r="A1065" s="5" t="s">
        <v>327</v>
      </c>
      <c r="B1065" s="5" t="s">
        <v>5292</v>
      </c>
      <c r="C1065" t="s">
        <v>5293</v>
      </c>
      <c r="D1065" t="s">
        <v>327</v>
      </c>
      <c r="E1065" t="s">
        <v>327</v>
      </c>
      <c r="F1065" t="s">
        <v>327</v>
      </c>
      <c r="G1065" t="s">
        <v>327</v>
      </c>
      <c r="H1065" t="s">
        <v>327</v>
      </c>
      <c r="I1065" t="s">
        <v>2931</v>
      </c>
    </row>
    <row r="1066" spans="1:9">
      <c r="A1066" s="5" t="s">
        <v>327</v>
      </c>
      <c r="B1066" s="5" t="s">
        <v>5294</v>
      </c>
      <c r="C1066" t="s">
        <v>5295</v>
      </c>
      <c r="D1066" t="s">
        <v>327</v>
      </c>
      <c r="E1066" t="s">
        <v>327</v>
      </c>
      <c r="F1066" t="s">
        <v>327</v>
      </c>
      <c r="G1066" t="s">
        <v>327</v>
      </c>
      <c r="H1066" t="s">
        <v>327</v>
      </c>
      <c r="I1066" t="s">
        <v>2990</v>
      </c>
    </row>
    <row r="1067" spans="1:9">
      <c r="A1067" s="5" t="s">
        <v>327</v>
      </c>
      <c r="B1067" s="5" t="s">
        <v>5296</v>
      </c>
      <c r="C1067" t="s">
        <v>5297</v>
      </c>
      <c r="D1067" t="s">
        <v>327</v>
      </c>
      <c r="E1067" t="s">
        <v>327</v>
      </c>
      <c r="F1067" t="s">
        <v>327</v>
      </c>
      <c r="G1067" t="s">
        <v>327</v>
      </c>
      <c r="H1067" t="s">
        <v>327</v>
      </c>
      <c r="I1067" t="s">
        <v>2931</v>
      </c>
    </row>
    <row r="1068" spans="1:9">
      <c r="A1068" s="5" t="s">
        <v>327</v>
      </c>
      <c r="B1068" s="5" t="s">
        <v>5298</v>
      </c>
      <c r="C1068" t="s">
        <v>5299</v>
      </c>
      <c r="D1068" t="s">
        <v>327</v>
      </c>
      <c r="E1068" t="s">
        <v>327</v>
      </c>
      <c r="F1068" t="s">
        <v>327</v>
      </c>
      <c r="G1068" t="s">
        <v>327</v>
      </c>
      <c r="H1068" t="s">
        <v>327</v>
      </c>
      <c r="I1068" t="s">
        <v>2990</v>
      </c>
    </row>
    <row r="1069" spans="1:9">
      <c r="A1069" s="5" t="s">
        <v>327</v>
      </c>
      <c r="B1069" s="5" t="s">
        <v>5300</v>
      </c>
      <c r="C1069" t="s">
        <v>5301</v>
      </c>
      <c r="D1069" t="s">
        <v>327</v>
      </c>
      <c r="E1069" t="s">
        <v>327</v>
      </c>
      <c r="F1069" t="s">
        <v>327</v>
      </c>
      <c r="G1069" t="s">
        <v>327</v>
      </c>
      <c r="H1069" t="s">
        <v>327</v>
      </c>
      <c r="I1069" t="s">
        <v>2990</v>
      </c>
    </row>
    <row r="1070" spans="1:9">
      <c r="A1070" s="5" t="s">
        <v>327</v>
      </c>
      <c r="B1070" s="5" t="s">
        <v>5300</v>
      </c>
      <c r="C1070" t="s">
        <v>5302</v>
      </c>
      <c r="D1070" t="s">
        <v>327</v>
      </c>
      <c r="E1070" t="s">
        <v>327</v>
      </c>
      <c r="F1070" t="s">
        <v>327</v>
      </c>
      <c r="G1070" t="s">
        <v>327</v>
      </c>
      <c r="H1070" t="s">
        <v>327</v>
      </c>
      <c r="I1070" t="s">
        <v>2990</v>
      </c>
    </row>
    <row r="1071" spans="1:9">
      <c r="A1071" s="5" t="s">
        <v>327</v>
      </c>
      <c r="B1071" s="5" t="s">
        <v>5303</v>
      </c>
      <c r="C1071" t="s">
        <v>5304</v>
      </c>
      <c r="D1071" t="s">
        <v>327</v>
      </c>
      <c r="E1071" t="s">
        <v>327</v>
      </c>
      <c r="F1071" t="s">
        <v>327</v>
      </c>
      <c r="G1071" t="s">
        <v>327</v>
      </c>
      <c r="H1071" t="s">
        <v>327</v>
      </c>
      <c r="I1071" t="s">
        <v>2990</v>
      </c>
    </row>
    <row r="1072" spans="1:9">
      <c r="A1072" s="5" t="s">
        <v>327</v>
      </c>
      <c r="B1072" s="5" t="s">
        <v>5305</v>
      </c>
      <c r="C1072" t="s">
        <v>5306</v>
      </c>
      <c r="D1072" t="s">
        <v>327</v>
      </c>
      <c r="E1072" t="s">
        <v>327</v>
      </c>
      <c r="F1072" t="s">
        <v>327</v>
      </c>
      <c r="G1072" t="s">
        <v>327</v>
      </c>
      <c r="H1072" t="s">
        <v>327</v>
      </c>
      <c r="I1072" t="s">
        <v>2931</v>
      </c>
    </row>
    <row r="1073" spans="1:9">
      <c r="A1073" s="5" t="s">
        <v>327</v>
      </c>
      <c r="B1073" s="5" t="s">
        <v>5307</v>
      </c>
      <c r="C1073" t="s">
        <v>5308</v>
      </c>
      <c r="D1073" t="s">
        <v>327</v>
      </c>
      <c r="E1073" t="s">
        <v>327</v>
      </c>
      <c r="F1073" t="s">
        <v>327</v>
      </c>
      <c r="G1073" t="s">
        <v>327</v>
      </c>
      <c r="H1073" t="s">
        <v>327</v>
      </c>
      <c r="I1073" t="s">
        <v>2931</v>
      </c>
    </row>
    <row r="1074" spans="1:9">
      <c r="A1074" s="5" t="s">
        <v>327</v>
      </c>
      <c r="B1074" s="5" t="s">
        <v>5294</v>
      </c>
      <c r="C1074" t="s">
        <v>5309</v>
      </c>
      <c r="D1074" t="s">
        <v>327</v>
      </c>
      <c r="E1074" t="s">
        <v>327</v>
      </c>
      <c r="F1074" t="s">
        <v>327</v>
      </c>
      <c r="G1074" t="s">
        <v>327</v>
      </c>
      <c r="H1074" t="s">
        <v>327</v>
      </c>
      <c r="I1074" t="s">
        <v>2990</v>
      </c>
    </row>
    <row r="1075" spans="1:9">
      <c r="A1075" s="5" t="s">
        <v>327</v>
      </c>
      <c r="B1075" s="5" t="s">
        <v>5294</v>
      </c>
      <c r="C1075" t="s">
        <v>5310</v>
      </c>
      <c r="D1075" t="s">
        <v>327</v>
      </c>
      <c r="E1075" t="s">
        <v>327</v>
      </c>
      <c r="F1075" t="s">
        <v>327</v>
      </c>
      <c r="G1075" t="s">
        <v>327</v>
      </c>
      <c r="H1075" t="s">
        <v>327</v>
      </c>
      <c r="I1075" t="s">
        <v>2990</v>
      </c>
    </row>
    <row r="1076" spans="1:9">
      <c r="A1076" s="5" t="s">
        <v>327</v>
      </c>
      <c r="B1076" s="5" t="s">
        <v>5294</v>
      </c>
      <c r="C1076" t="s">
        <v>5311</v>
      </c>
      <c r="D1076" t="s">
        <v>327</v>
      </c>
      <c r="E1076" t="s">
        <v>327</v>
      </c>
      <c r="F1076" t="s">
        <v>327</v>
      </c>
      <c r="G1076" t="s">
        <v>327</v>
      </c>
      <c r="H1076" t="s">
        <v>327</v>
      </c>
      <c r="I1076" t="s">
        <v>2990</v>
      </c>
    </row>
    <row r="1077" spans="1:9">
      <c r="A1077" s="5" t="s">
        <v>327</v>
      </c>
      <c r="B1077" s="5" t="s">
        <v>5312</v>
      </c>
      <c r="C1077" t="s">
        <v>5313</v>
      </c>
      <c r="D1077" t="s">
        <v>327</v>
      </c>
      <c r="E1077" t="s">
        <v>327</v>
      </c>
      <c r="F1077" t="s">
        <v>327</v>
      </c>
      <c r="G1077" t="s">
        <v>327</v>
      </c>
      <c r="H1077" t="s">
        <v>327</v>
      </c>
      <c r="I1077" t="s">
        <v>4461</v>
      </c>
    </row>
    <row r="1078" spans="1:9">
      <c r="A1078" s="5" t="s">
        <v>327</v>
      </c>
      <c r="B1078" s="5" t="s">
        <v>5314</v>
      </c>
      <c r="C1078" t="s">
        <v>5315</v>
      </c>
      <c r="D1078" t="s">
        <v>327</v>
      </c>
      <c r="E1078" t="s">
        <v>327</v>
      </c>
      <c r="F1078" t="s">
        <v>327</v>
      </c>
      <c r="G1078" t="s">
        <v>327</v>
      </c>
      <c r="H1078" t="s">
        <v>327</v>
      </c>
      <c r="I1078" t="s">
        <v>2931</v>
      </c>
    </row>
    <row r="1079" spans="1:9">
      <c r="A1079" s="5" t="s">
        <v>327</v>
      </c>
      <c r="B1079" s="5" t="s">
        <v>5316</v>
      </c>
      <c r="C1079" t="s">
        <v>5317</v>
      </c>
      <c r="D1079" t="s">
        <v>327</v>
      </c>
      <c r="E1079" t="s">
        <v>327</v>
      </c>
      <c r="F1079" t="s">
        <v>327</v>
      </c>
      <c r="G1079" t="s">
        <v>327</v>
      </c>
      <c r="H1079" t="s">
        <v>327</v>
      </c>
      <c r="I1079" t="s">
        <v>5318</v>
      </c>
    </row>
    <row r="1080" spans="1:9">
      <c r="A1080" s="5" t="s">
        <v>327</v>
      </c>
      <c r="B1080" s="5" t="s">
        <v>5319</v>
      </c>
      <c r="C1080" t="s">
        <v>5320</v>
      </c>
      <c r="D1080" t="s">
        <v>327</v>
      </c>
      <c r="E1080" t="s">
        <v>327</v>
      </c>
      <c r="F1080" t="s">
        <v>327</v>
      </c>
      <c r="G1080" t="s">
        <v>327</v>
      </c>
      <c r="H1080" t="s">
        <v>327</v>
      </c>
      <c r="I1080" t="s">
        <v>5321</v>
      </c>
    </row>
    <row r="1081" spans="1:9">
      <c r="A1081" s="5" t="s">
        <v>327</v>
      </c>
      <c r="B1081" s="5" t="s">
        <v>5319</v>
      </c>
      <c r="C1081" t="s">
        <v>5322</v>
      </c>
      <c r="D1081" t="s">
        <v>327</v>
      </c>
      <c r="E1081" t="s">
        <v>327</v>
      </c>
      <c r="F1081" t="s">
        <v>327</v>
      </c>
      <c r="G1081" t="s">
        <v>327</v>
      </c>
      <c r="H1081" t="s">
        <v>327</v>
      </c>
      <c r="I1081" t="s">
        <v>5323</v>
      </c>
    </row>
    <row r="1082" spans="1:9">
      <c r="A1082" s="5" t="s">
        <v>327</v>
      </c>
      <c r="B1082" s="5" t="s">
        <v>5324</v>
      </c>
      <c r="C1082" t="s">
        <v>5325</v>
      </c>
      <c r="D1082" t="s">
        <v>327</v>
      </c>
      <c r="E1082" t="s">
        <v>327</v>
      </c>
      <c r="F1082" t="s">
        <v>327</v>
      </c>
      <c r="G1082" t="s">
        <v>327</v>
      </c>
      <c r="H1082" t="s">
        <v>327</v>
      </c>
      <c r="I1082" t="s">
        <v>5326</v>
      </c>
    </row>
    <row r="1083" spans="1:9">
      <c r="A1083" s="5" t="s">
        <v>327</v>
      </c>
      <c r="B1083" s="5" t="s">
        <v>5327</v>
      </c>
      <c r="C1083" t="s">
        <v>5328</v>
      </c>
      <c r="D1083" t="s">
        <v>327</v>
      </c>
      <c r="E1083" t="s">
        <v>327</v>
      </c>
      <c r="F1083" t="s">
        <v>327</v>
      </c>
      <c r="G1083" t="s">
        <v>327</v>
      </c>
      <c r="H1083" t="s">
        <v>327</v>
      </c>
      <c r="I1083" t="s">
        <v>5329</v>
      </c>
    </row>
    <row r="1084" spans="1:9">
      <c r="A1084" s="5" t="s">
        <v>327</v>
      </c>
      <c r="B1084" s="5" t="s">
        <v>5330</v>
      </c>
      <c r="C1084" t="s">
        <v>5331</v>
      </c>
      <c r="D1084" t="s">
        <v>327</v>
      </c>
      <c r="E1084" t="s">
        <v>327</v>
      </c>
      <c r="F1084" t="s">
        <v>327</v>
      </c>
      <c r="G1084" t="s">
        <v>327</v>
      </c>
      <c r="H1084" t="s">
        <v>327</v>
      </c>
      <c r="I1084" t="s">
        <v>3026</v>
      </c>
    </row>
    <row r="1085" spans="1:9">
      <c r="A1085" s="5" t="s">
        <v>327</v>
      </c>
      <c r="B1085" s="5" t="s">
        <v>5332</v>
      </c>
      <c r="C1085" t="s">
        <v>5333</v>
      </c>
      <c r="D1085" t="s">
        <v>327</v>
      </c>
      <c r="E1085" t="s">
        <v>327</v>
      </c>
      <c r="F1085" t="s">
        <v>327</v>
      </c>
      <c r="G1085" t="s">
        <v>327</v>
      </c>
      <c r="H1085" t="s">
        <v>327</v>
      </c>
      <c r="I1085" t="s">
        <v>5334</v>
      </c>
    </row>
    <row r="1086" spans="1:9">
      <c r="A1086" s="5" t="s">
        <v>327</v>
      </c>
      <c r="B1086" s="5" t="s">
        <v>5335</v>
      </c>
      <c r="C1086" t="s">
        <v>5336</v>
      </c>
      <c r="D1086" t="s">
        <v>327</v>
      </c>
      <c r="E1086" t="s">
        <v>327</v>
      </c>
      <c r="F1086" t="s">
        <v>327</v>
      </c>
      <c r="G1086" t="s">
        <v>327</v>
      </c>
      <c r="H1086" t="s">
        <v>327</v>
      </c>
      <c r="I1086" t="s">
        <v>2921</v>
      </c>
    </row>
    <row r="1087" spans="1:9">
      <c r="A1087" s="5" t="s">
        <v>327</v>
      </c>
      <c r="B1087" s="5" t="s">
        <v>5337</v>
      </c>
      <c r="C1087" t="s">
        <v>5338</v>
      </c>
      <c r="D1087" t="s">
        <v>327</v>
      </c>
      <c r="E1087" t="s">
        <v>327</v>
      </c>
      <c r="F1087" t="s">
        <v>327</v>
      </c>
      <c r="G1087" t="s">
        <v>327</v>
      </c>
      <c r="H1087" t="s">
        <v>327</v>
      </c>
      <c r="I1087" t="s">
        <v>5339</v>
      </c>
    </row>
    <row r="1088" spans="1:9">
      <c r="A1088" s="5" t="s">
        <v>327</v>
      </c>
      <c r="B1088" s="5" t="s">
        <v>5340</v>
      </c>
      <c r="C1088" t="s">
        <v>5341</v>
      </c>
      <c r="D1088" t="s">
        <v>327</v>
      </c>
      <c r="E1088" t="s">
        <v>327</v>
      </c>
      <c r="F1088" t="s">
        <v>327</v>
      </c>
      <c r="G1088" t="s">
        <v>327</v>
      </c>
      <c r="H1088" t="s">
        <v>327</v>
      </c>
      <c r="I1088" t="s">
        <v>5342</v>
      </c>
    </row>
    <row r="1089" spans="1:9">
      <c r="A1089" s="5" t="s">
        <v>327</v>
      </c>
      <c r="B1089" s="5" t="s">
        <v>5343</v>
      </c>
      <c r="C1089" t="s">
        <v>5344</v>
      </c>
      <c r="D1089" t="s">
        <v>327</v>
      </c>
      <c r="E1089" t="s">
        <v>327</v>
      </c>
      <c r="F1089" t="s">
        <v>327</v>
      </c>
      <c r="G1089" t="s">
        <v>327</v>
      </c>
      <c r="H1089" t="s">
        <v>327</v>
      </c>
      <c r="I1089" t="s">
        <v>5345</v>
      </c>
    </row>
    <row r="1090" spans="1:9">
      <c r="A1090" s="5" t="s">
        <v>327</v>
      </c>
      <c r="B1090" s="5" t="s">
        <v>5346</v>
      </c>
      <c r="C1090" t="s">
        <v>5347</v>
      </c>
      <c r="D1090" t="s">
        <v>327</v>
      </c>
      <c r="E1090" t="s">
        <v>327</v>
      </c>
      <c r="F1090" t="s">
        <v>327</v>
      </c>
      <c r="G1090" t="s">
        <v>327</v>
      </c>
      <c r="H1090" t="s">
        <v>327</v>
      </c>
      <c r="I1090" t="s">
        <v>3773</v>
      </c>
    </row>
    <row r="1091" spans="1:9">
      <c r="A1091" s="5" t="s">
        <v>327</v>
      </c>
      <c r="B1091" s="5" t="s">
        <v>5348</v>
      </c>
      <c r="C1091" t="s">
        <v>5349</v>
      </c>
      <c r="D1091" t="s">
        <v>327</v>
      </c>
      <c r="E1091" t="s">
        <v>327</v>
      </c>
      <c r="F1091" t="s">
        <v>327</v>
      </c>
      <c r="G1091" t="s">
        <v>327</v>
      </c>
      <c r="H1091" t="s">
        <v>327</v>
      </c>
      <c r="I1091" t="s">
        <v>5350</v>
      </c>
    </row>
    <row r="1092" spans="1:9">
      <c r="A1092" s="5" t="s">
        <v>327</v>
      </c>
      <c r="B1092" s="5" t="s">
        <v>5351</v>
      </c>
      <c r="C1092" t="s">
        <v>5352</v>
      </c>
      <c r="D1092" t="s">
        <v>327</v>
      </c>
      <c r="E1092" t="s">
        <v>327</v>
      </c>
      <c r="F1092" t="s">
        <v>327</v>
      </c>
      <c r="G1092" t="s">
        <v>327</v>
      </c>
      <c r="H1092" t="s">
        <v>327</v>
      </c>
      <c r="I1092" t="s">
        <v>5353</v>
      </c>
    </row>
    <row r="1093" spans="1:9">
      <c r="A1093" s="5" t="s">
        <v>327</v>
      </c>
      <c r="B1093" s="5" t="s">
        <v>5354</v>
      </c>
      <c r="C1093" t="s">
        <v>5355</v>
      </c>
      <c r="D1093" t="s">
        <v>327</v>
      </c>
      <c r="E1093" t="s">
        <v>327</v>
      </c>
      <c r="F1093" t="s">
        <v>327</v>
      </c>
      <c r="G1093" t="s">
        <v>327</v>
      </c>
      <c r="H1093" t="s">
        <v>327</v>
      </c>
      <c r="I1093" t="s">
        <v>5329</v>
      </c>
    </row>
    <row r="1094" spans="1:9">
      <c r="A1094" s="5" t="s">
        <v>327</v>
      </c>
      <c r="B1094" s="5" t="s">
        <v>5356</v>
      </c>
      <c r="C1094" t="s">
        <v>5357</v>
      </c>
      <c r="D1094" t="s">
        <v>327</v>
      </c>
      <c r="E1094" t="s">
        <v>327</v>
      </c>
      <c r="F1094" t="s">
        <v>327</v>
      </c>
      <c r="G1094" t="s">
        <v>327</v>
      </c>
      <c r="H1094" t="s">
        <v>327</v>
      </c>
      <c r="I1094" t="s">
        <v>5358</v>
      </c>
    </row>
    <row r="1095" spans="1:9">
      <c r="A1095" s="5" t="s">
        <v>327</v>
      </c>
      <c r="B1095" s="5" t="s">
        <v>5359</v>
      </c>
      <c r="C1095" t="s">
        <v>5360</v>
      </c>
      <c r="D1095" t="s">
        <v>327</v>
      </c>
      <c r="E1095" t="s">
        <v>327</v>
      </c>
      <c r="F1095" t="s">
        <v>327</v>
      </c>
      <c r="G1095" t="s">
        <v>327</v>
      </c>
      <c r="H1095" t="s">
        <v>327</v>
      </c>
      <c r="I1095" t="s">
        <v>5361</v>
      </c>
    </row>
    <row r="1096" spans="1:9">
      <c r="A1096" s="5" t="s">
        <v>327</v>
      </c>
      <c r="B1096" s="5" t="s">
        <v>5362</v>
      </c>
      <c r="C1096" t="s">
        <v>159</v>
      </c>
      <c r="D1096" t="s">
        <v>327</v>
      </c>
      <c r="E1096" t="s">
        <v>327</v>
      </c>
      <c r="F1096" t="s">
        <v>327</v>
      </c>
      <c r="G1096" t="s">
        <v>327</v>
      </c>
      <c r="H1096" t="s">
        <v>327</v>
      </c>
      <c r="I1096" t="s">
        <v>380</v>
      </c>
    </row>
    <row r="1097" spans="1:9">
      <c r="A1097" s="5" t="s">
        <v>327</v>
      </c>
      <c r="B1097" s="5" t="s">
        <v>5363</v>
      </c>
      <c r="C1097" t="s">
        <v>5364</v>
      </c>
      <c r="D1097" t="s">
        <v>327</v>
      </c>
      <c r="E1097" t="s">
        <v>327</v>
      </c>
      <c r="F1097" t="s">
        <v>327</v>
      </c>
      <c r="G1097" t="s">
        <v>327</v>
      </c>
      <c r="H1097" t="s">
        <v>327</v>
      </c>
      <c r="I1097" t="s">
        <v>5365</v>
      </c>
    </row>
    <row r="1098" spans="1:9">
      <c r="A1098" s="5" t="s">
        <v>327</v>
      </c>
      <c r="B1098" s="5" t="s">
        <v>5366</v>
      </c>
      <c r="C1098" t="s">
        <v>5367</v>
      </c>
      <c r="D1098" t="s">
        <v>327</v>
      </c>
      <c r="E1098" t="s">
        <v>327</v>
      </c>
      <c r="F1098" t="s">
        <v>327</v>
      </c>
      <c r="G1098" t="s">
        <v>327</v>
      </c>
      <c r="H1098" t="s">
        <v>327</v>
      </c>
      <c r="I1098" t="s">
        <v>4281</v>
      </c>
    </row>
    <row r="1099" spans="1:9">
      <c r="A1099" s="5" t="s">
        <v>327</v>
      </c>
      <c r="B1099" s="5" t="s">
        <v>5368</v>
      </c>
      <c r="C1099" t="s">
        <v>5369</v>
      </c>
      <c r="D1099" t="s">
        <v>327</v>
      </c>
      <c r="E1099" t="s">
        <v>327</v>
      </c>
      <c r="F1099" t="s">
        <v>327</v>
      </c>
      <c r="G1099" t="s">
        <v>327</v>
      </c>
      <c r="H1099" t="s">
        <v>327</v>
      </c>
      <c r="I1099" t="s">
        <v>4281</v>
      </c>
    </row>
    <row r="1100" spans="1:9">
      <c r="A1100" s="5" t="s">
        <v>327</v>
      </c>
      <c r="B1100" s="5" t="s">
        <v>5370</v>
      </c>
      <c r="C1100" t="s">
        <v>5371</v>
      </c>
      <c r="D1100" t="s">
        <v>327</v>
      </c>
      <c r="E1100" t="s">
        <v>327</v>
      </c>
      <c r="F1100" t="s">
        <v>327</v>
      </c>
      <c r="G1100" t="s">
        <v>327</v>
      </c>
      <c r="H1100" t="s">
        <v>327</v>
      </c>
      <c r="I1100" t="s">
        <v>3026</v>
      </c>
    </row>
    <row r="1101" spans="1:9">
      <c r="A1101" s="5" t="s">
        <v>327</v>
      </c>
      <c r="B1101" s="5" t="s">
        <v>5372</v>
      </c>
      <c r="C1101" t="s">
        <v>5373</v>
      </c>
      <c r="D1101" t="s">
        <v>327</v>
      </c>
      <c r="E1101" t="s">
        <v>327</v>
      </c>
      <c r="F1101" t="s">
        <v>327</v>
      </c>
      <c r="G1101" t="s">
        <v>327</v>
      </c>
      <c r="H1101" t="s">
        <v>327</v>
      </c>
      <c r="I1101" t="s">
        <v>4281</v>
      </c>
    </row>
    <row r="1102" spans="1:9">
      <c r="A1102" s="5" t="s">
        <v>327</v>
      </c>
      <c r="B1102" s="5" t="s">
        <v>5374</v>
      </c>
      <c r="C1102" t="s">
        <v>5375</v>
      </c>
      <c r="D1102" t="s">
        <v>327</v>
      </c>
      <c r="E1102" t="s">
        <v>327</v>
      </c>
      <c r="F1102" t="s">
        <v>327</v>
      </c>
      <c r="G1102" t="s">
        <v>327</v>
      </c>
      <c r="H1102" t="s">
        <v>327</v>
      </c>
      <c r="I1102" t="s">
        <v>5376</v>
      </c>
    </row>
    <row r="1103" spans="1:9">
      <c r="A1103" s="5" t="s">
        <v>327</v>
      </c>
      <c r="B1103" s="5" t="s">
        <v>5377</v>
      </c>
      <c r="C1103" t="s">
        <v>5378</v>
      </c>
      <c r="D1103" t="s">
        <v>327</v>
      </c>
      <c r="E1103" t="s">
        <v>327</v>
      </c>
      <c r="F1103" t="s">
        <v>327</v>
      </c>
      <c r="G1103" t="s">
        <v>327</v>
      </c>
      <c r="H1103" t="s">
        <v>327</v>
      </c>
      <c r="I1103" t="s">
        <v>380</v>
      </c>
    </row>
    <row r="1104" spans="1:9">
      <c r="A1104" s="5" t="s">
        <v>327</v>
      </c>
      <c r="B1104" s="5" t="s">
        <v>5379</v>
      </c>
      <c r="C1104" t="s">
        <v>5380</v>
      </c>
      <c r="D1104" t="s">
        <v>327</v>
      </c>
      <c r="E1104" t="s">
        <v>327</v>
      </c>
      <c r="F1104" t="s">
        <v>327</v>
      </c>
      <c r="G1104" t="s">
        <v>327</v>
      </c>
      <c r="H1104" t="s">
        <v>327</v>
      </c>
      <c r="I1104" t="s">
        <v>5381</v>
      </c>
    </row>
    <row r="1105" spans="1:9">
      <c r="A1105" s="5" t="s">
        <v>327</v>
      </c>
      <c r="B1105" s="5" t="s">
        <v>5382</v>
      </c>
      <c r="C1105" t="s">
        <v>5383</v>
      </c>
      <c r="D1105" t="s">
        <v>327</v>
      </c>
      <c r="E1105" t="s">
        <v>327</v>
      </c>
      <c r="F1105" t="s">
        <v>327</v>
      </c>
      <c r="G1105" t="s">
        <v>327</v>
      </c>
      <c r="H1105" t="s">
        <v>327</v>
      </c>
      <c r="I1105" t="s">
        <v>5384</v>
      </c>
    </row>
    <row r="1106" spans="1:9">
      <c r="A1106" s="5" t="s">
        <v>327</v>
      </c>
      <c r="B1106" s="5" t="s">
        <v>5385</v>
      </c>
      <c r="C1106" t="s">
        <v>5386</v>
      </c>
      <c r="D1106" t="s">
        <v>327</v>
      </c>
      <c r="E1106" t="s">
        <v>327</v>
      </c>
      <c r="F1106" t="s">
        <v>327</v>
      </c>
      <c r="G1106" t="s">
        <v>327</v>
      </c>
      <c r="H1106" t="s">
        <v>327</v>
      </c>
      <c r="I1106" t="s">
        <v>4281</v>
      </c>
    </row>
    <row r="1107" spans="1:9">
      <c r="A1107" s="5" t="s">
        <v>327</v>
      </c>
      <c r="B1107" s="5" t="s">
        <v>5387</v>
      </c>
      <c r="C1107" t="s">
        <v>5388</v>
      </c>
      <c r="D1107" t="s">
        <v>327</v>
      </c>
      <c r="E1107" t="s">
        <v>327</v>
      </c>
      <c r="F1107" t="s">
        <v>327</v>
      </c>
      <c r="G1107" t="s">
        <v>327</v>
      </c>
      <c r="H1107" t="s">
        <v>327</v>
      </c>
      <c r="I1107" t="s">
        <v>3306</v>
      </c>
    </row>
    <row r="1108" spans="1:9">
      <c r="A1108" s="5" t="s">
        <v>327</v>
      </c>
      <c r="B1108" s="5" t="s">
        <v>5389</v>
      </c>
      <c r="C1108" t="s">
        <v>5390</v>
      </c>
      <c r="D1108" t="s">
        <v>327</v>
      </c>
      <c r="E1108" t="s">
        <v>327</v>
      </c>
      <c r="F1108" t="s">
        <v>327</v>
      </c>
      <c r="G1108" t="s">
        <v>327</v>
      </c>
      <c r="H1108" t="s">
        <v>327</v>
      </c>
      <c r="I1108" t="s">
        <v>4281</v>
      </c>
    </row>
    <row r="1109" spans="1:9">
      <c r="A1109" s="5" t="s">
        <v>327</v>
      </c>
      <c r="B1109" s="5" t="s">
        <v>5391</v>
      </c>
      <c r="C1109" t="s">
        <v>5392</v>
      </c>
      <c r="D1109" t="s">
        <v>327</v>
      </c>
      <c r="E1109" t="s">
        <v>327</v>
      </c>
      <c r="F1109" t="s">
        <v>327</v>
      </c>
      <c r="G1109" t="s">
        <v>327</v>
      </c>
      <c r="H1109" t="s">
        <v>327</v>
      </c>
      <c r="I1109" t="s">
        <v>5393</v>
      </c>
    </row>
    <row r="1110" spans="1:9">
      <c r="A1110" s="5" t="s">
        <v>327</v>
      </c>
      <c r="B1110" s="5" t="s">
        <v>5394</v>
      </c>
      <c r="C1110" t="s">
        <v>5395</v>
      </c>
      <c r="D1110" t="s">
        <v>327</v>
      </c>
      <c r="E1110" t="s">
        <v>327</v>
      </c>
      <c r="F1110" t="s">
        <v>327</v>
      </c>
      <c r="G1110" t="s">
        <v>327</v>
      </c>
      <c r="H1110" t="s">
        <v>327</v>
      </c>
      <c r="I1110" t="s">
        <v>3026</v>
      </c>
    </row>
    <row r="1111" spans="1:9">
      <c r="A1111" s="5" t="s">
        <v>327</v>
      </c>
      <c r="B1111" s="5" t="s">
        <v>5396</v>
      </c>
      <c r="C1111" t="s">
        <v>5397</v>
      </c>
      <c r="D1111" t="s">
        <v>327</v>
      </c>
      <c r="E1111" t="s">
        <v>327</v>
      </c>
      <c r="F1111" t="s">
        <v>327</v>
      </c>
      <c r="G1111" t="s">
        <v>327</v>
      </c>
      <c r="H1111" t="s">
        <v>327</v>
      </c>
      <c r="I1111" t="s">
        <v>5323</v>
      </c>
    </row>
    <row r="1112" spans="1:9">
      <c r="A1112" s="5" t="s">
        <v>327</v>
      </c>
      <c r="B1112" s="5" t="s">
        <v>5398</v>
      </c>
      <c r="C1112" t="s">
        <v>5399</v>
      </c>
      <c r="D1112" t="s">
        <v>327</v>
      </c>
      <c r="E1112" t="s">
        <v>327</v>
      </c>
      <c r="F1112" t="s">
        <v>327</v>
      </c>
      <c r="G1112" t="s">
        <v>327</v>
      </c>
      <c r="H1112" t="s">
        <v>327</v>
      </c>
      <c r="I1112" t="s">
        <v>3306</v>
      </c>
    </row>
    <row r="1113" spans="1:9">
      <c r="A1113" s="5" t="s">
        <v>327</v>
      </c>
      <c r="B1113" s="5" t="s">
        <v>5400</v>
      </c>
      <c r="C1113" t="s">
        <v>5401</v>
      </c>
      <c r="D1113" t="s">
        <v>327</v>
      </c>
      <c r="E1113" t="s">
        <v>327</v>
      </c>
      <c r="F1113" t="s">
        <v>327</v>
      </c>
      <c r="G1113" t="s">
        <v>327</v>
      </c>
      <c r="H1113" t="s">
        <v>327</v>
      </c>
      <c r="I1113" t="s">
        <v>5402</v>
      </c>
    </row>
    <row r="1114" spans="1:9">
      <c r="A1114" s="5" t="s">
        <v>327</v>
      </c>
      <c r="B1114" s="5" t="s">
        <v>5403</v>
      </c>
      <c r="C1114" t="s">
        <v>5404</v>
      </c>
      <c r="D1114" t="s">
        <v>327</v>
      </c>
      <c r="E1114" t="s">
        <v>327</v>
      </c>
      <c r="F1114" t="s">
        <v>327</v>
      </c>
      <c r="G1114" t="s">
        <v>327</v>
      </c>
      <c r="H1114" t="s">
        <v>327</v>
      </c>
      <c r="I1114" t="s">
        <v>3176</v>
      </c>
    </row>
    <row r="1115" spans="1:9">
      <c r="A1115" s="5" t="s">
        <v>327</v>
      </c>
      <c r="B1115" s="5" t="s">
        <v>5405</v>
      </c>
      <c r="C1115" t="s">
        <v>5406</v>
      </c>
      <c r="D1115" t="s">
        <v>327</v>
      </c>
      <c r="E1115" t="s">
        <v>327</v>
      </c>
      <c r="F1115" t="s">
        <v>327</v>
      </c>
      <c r="G1115" t="s">
        <v>327</v>
      </c>
      <c r="H1115" t="s">
        <v>327</v>
      </c>
      <c r="I1115" t="s">
        <v>1092</v>
      </c>
    </row>
    <row r="1116" spans="1:9">
      <c r="A1116" s="5" t="s">
        <v>327</v>
      </c>
      <c r="B1116" s="5" t="s">
        <v>5407</v>
      </c>
      <c r="C1116" t="s">
        <v>5408</v>
      </c>
      <c r="D1116" t="s">
        <v>327</v>
      </c>
      <c r="E1116" t="s">
        <v>327</v>
      </c>
      <c r="F1116" t="s">
        <v>327</v>
      </c>
      <c r="G1116" t="s">
        <v>327</v>
      </c>
      <c r="H1116" t="s">
        <v>327</v>
      </c>
      <c r="I1116" t="s">
        <v>5409</v>
      </c>
    </row>
    <row r="1117" spans="1:9">
      <c r="A1117" s="5" t="s">
        <v>327</v>
      </c>
      <c r="B1117" s="5" t="s">
        <v>5410</v>
      </c>
      <c r="C1117" t="s">
        <v>5411</v>
      </c>
      <c r="D1117" t="s">
        <v>327</v>
      </c>
      <c r="E1117" t="s">
        <v>327</v>
      </c>
      <c r="F1117" t="s">
        <v>327</v>
      </c>
      <c r="G1117" t="s">
        <v>327</v>
      </c>
      <c r="H1117" t="s">
        <v>327</v>
      </c>
      <c r="I1117" t="s">
        <v>3749</v>
      </c>
    </row>
    <row r="1118" spans="1:9">
      <c r="A1118" s="5" t="s">
        <v>327</v>
      </c>
      <c r="B1118" s="5" t="s">
        <v>5412</v>
      </c>
      <c r="C1118" t="s">
        <v>5413</v>
      </c>
      <c r="D1118" t="s">
        <v>327</v>
      </c>
      <c r="E1118" t="s">
        <v>327</v>
      </c>
      <c r="F1118" t="s">
        <v>327</v>
      </c>
      <c r="G1118" t="s">
        <v>327</v>
      </c>
      <c r="H1118" t="s">
        <v>327</v>
      </c>
      <c r="I1118" t="s">
        <v>5414</v>
      </c>
    </row>
    <row r="1119" spans="1:9">
      <c r="A1119" s="5" t="s">
        <v>327</v>
      </c>
      <c r="B1119" s="5" t="s">
        <v>5415</v>
      </c>
      <c r="C1119" t="s">
        <v>5416</v>
      </c>
      <c r="D1119" t="s">
        <v>327</v>
      </c>
      <c r="E1119" t="s">
        <v>327</v>
      </c>
      <c r="F1119" t="s">
        <v>327</v>
      </c>
      <c r="G1119" t="s">
        <v>327</v>
      </c>
      <c r="H1119" t="s">
        <v>327</v>
      </c>
      <c r="I1119" t="s">
        <v>1181</v>
      </c>
    </row>
    <row r="1120" spans="1:9">
      <c r="A1120" s="5" t="s">
        <v>327</v>
      </c>
      <c r="B1120" s="5" t="s">
        <v>5417</v>
      </c>
      <c r="C1120" t="s">
        <v>5418</v>
      </c>
      <c r="D1120" t="s">
        <v>327</v>
      </c>
      <c r="E1120" t="s">
        <v>327</v>
      </c>
      <c r="F1120" t="s">
        <v>327</v>
      </c>
      <c r="G1120" t="s">
        <v>327</v>
      </c>
      <c r="H1120" t="s">
        <v>327</v>
      </c>
      <c r="I1120" t="s">
        <v>5419</v>
      </c>
    </row>
    <row r="1121" spans="1:9">
      <c r="A1121" s="5" t="s">
        <v>327</v>
      </c>
      <c r="B1121" s="5" t="s">
        <v>5420</v>
      </c>
      <c r="C1121" t="s">
        <v>5421</v>
      </c>
      <c r="D1121" t="s">
        <v>327</v>
      </c>
      <c r="E1121" t="s">
        <v>327</v>
      </c>
      <c r="F1121" t="s">
        <v>327</v>
      </c>
      <c r="G1121" t="s">
        <v>327</v>
      </c>
      <c r="H1121" t="s">
        <v>327</v>
      </c>
      <c r="I1121" t="s">
        <v>2440</v>
      </c>
    </row>
    <row r="1122" spans="1:9">
      <c r="A1122" s="5" t="s">
        <v>327</v>
      </c>
      <c r="B1122" s="5" t="s">
        <v>5422</v>
      </c>
      <c r="C1122" t="s">
        <v>5423</v>
      </c>
      <c r="D1122" t="s">
        <v>327</v>
      </c>
      <c r="E1122" t="s">
        <v>327</v>
      </c>
      <c r="F1122" t="s">
        <v>327</v>
      </c>
      <c r="G1122" t="s">
        <v>327</v>
      </c>
      <c r="H1122" t="s">
        <v>327</v>
      </c>
      <c r="I1122" t="s">
        <v>5424</v>
      </c>
    </row>
    <row r="1123" spans="1:9">
      <c r="A1123" s="5" t="s">
        <v>327</v>
      </c>
      <c r="B1123" s="5" t="s">
        <v>5425</v>
      </c>
      <c r="C1123" t="s">
        <v>5426</v>
      </c>
      <c r="D1123" t="s">
        <v>327</v>
      </c>
      <c r="E1123" t="s">
        <v>327</v>
      </c>
      <c r="F1123" t="s">
        <v>327</v>
      </c>
      <c r="G1123" t="s">
        <v>327</v>
      </c>
      <c r="H1123" t="s">
        <v>327</v>
      </c>
      <c r="I1123" t="s">
        <v>5427</v>
      </c>
    </row>
    <row r="1124" spans="1:9">
      <c r="A1124" s="5" t="s">
        <v>327</v>
      </c>
      <c r="B1124" s="5" t="s">
        <v>5428</v>
      </c>
      <c r="C1124" t="s">
        <v>5429</v>
      </c>
      <c r="D1124" t="s">
        <v>327</v>
      </c>
      <c r="E1124" t="s">
        <v>327</v>
      </c>
      <c r="F1124" t="s">
        <v>327</v>
      </c>
      <c r="G1124" t="s">
        <v>327</v>
      </c>
      <c r="H1124" t="s">
        <v>327</v>
      </c>
      <c r="I1124" t="s">
        <v>3664</v>
      </c>
    </row>
    <row r="1125" spans="1:9">
      <c r="A1125" s="5" t="s">
        <v>327</v>
      </c>
      <c r="B1125" s="5" t="s">
        <v>5430</v>
      </c>
      <c r="C1125" t="s">
        <v>5431</v>
      </c>
      <c r="D1125" t="s">
        <v>327</v>
      </c>
      <c r="E1125" t="s">
        <v>327</v>
      </c>
      <c r="F1125" t="s">
        <v>327</v>
      </c>
      <c r="G1125" t="s">
        <v>327</v>
      </c>
      <c r="H1125" t="s">
        <v>327</v>
      </c>
      <c r="I1125" t="s">
        <v>5432</v>
      </c>
    </row>
    <row r="1126" spans="1:9">
      <c r="A1126" s="5" t="s">
        <v>327</v>
      </c>
      <c r="B1126" s="5" t="s">
        <v>5433</v>
      </c>
      <c r="C1126" t="s">
        <v>5434</v>
      </c>
      <c r="D1126" t="s">
        <v>327</v>
      </c>
      <c r="E1126" t="s">
        <v>327</v>
      </c>
      <c r="F1126" t="s">
        <v>327</v>
      </c>
      <c r="G1126" t="s">
        <v>327</v>
      </c>
      <c r="H1126" t="s">
        <v>327</v>
      </c>
      <c r="I1126" t="s">
        <v>3645</v>
      </c>
    </row>
    <row r="1127" spans="1:9">
      <c r="A1127" s="5" t="s">
        <v>327</v>
      </c>
      <c r="B1127" s="5" t="s">
        <v>5435</v>
      </c>
      <c r="C1127" t="s">
        <v>5436</v>
      </c>
      <c r="D1127" t="s">
        <v>327</v>
      </c>
      <c r="E1127" t="s">
        <v>327</v>
      </c>
      <c r="F1127" t="s">
        <v>327</v>
      </c>
      <c r="G1127" t="s">
        <v>327</v>
      </c>
      <c r="H1127" t="s">
        <v>327</v>
      </c>
      <c r="I1127" t="s">
        <v>5437</v>
      </c>
    </row>
    <row r="1128" spans="1:9">
      <c r="A1128" s="5" t="s">
        <v>327</v>
      </c>
      <c r="B1128" s="5" t="s">
        <v>5438</v>
      </c>
      <c r="C1128" t="s">
        <v>5439</v>
      </c>
      <c r="D1128" t="s">
        <v>327</v>
      </c>
      <c r="E1128" t="s">
        <v>327</v>
      </c>
      <c r="F1128" t="s">
        <v>327</v>
      </c>
      <c r="G1128" t="s">
        <v>327</v>
      </c>
      <c r="H1128" t="s">
        <v>327</v>
      </c>
      <c r="I1128" t="s">
        <v>3455</v>
      </c>
    </row>
    <row r="1129" spans="1:9">
      <c r="A1129" s="5" t="s">
        <v>327</v>
      </c>
      <c r="B1129" s="5" t="s">
        <v>5440</v>
      </c>
      <c r="C1129" t="s">
        <v>5441</v>
      </c>
      <c r="D1129" t="s">
        <v>327</v>
      </c>
      <c r="E1129" t="s">
        <v>327</v>
      </c>
      <c r="F1129" t="s">
        <v>327</v>
      </c>
      <c r="G1129" t="s">
        <v>327</v>
      </c>
      <c r="H1129" t="s">
        <v>327</v>
      </c>
      <c r="I1129" t="s">
        <v>3303</v>
      </c>
    </row>
    <row r="1130" spans="1:9">
      <c r="A1130" s="5" t="s">
        <v>327</v>
      </c>
      <c r="B1130" s="5" t="s">
        <v>5442</v>
      </c>
      <c r="C1130" t="s">
        <v>5443</v>
      </c>
      <c r="D1130" t="s">
        <v>327</v>
      </c>
      <c r="E1130" t="s">
        <v>327</v>
      </c>
      <c r="F1130" t="s">
        <v>327</v>
      </c>
      <c r="G1130" t="s">
        <v>327</v>
      </c>
      <c r="H1130" t="s">
        <v>327</v>
      </c>
      <c r="I1130" t="s">
        <v>5444</v>
      </c>
    </row>
    <row r="1131" spans="1:9">
      <c r="A1131" s="5" t="s">
        <v>327</v>
      </c>
      <c r="B1131" s="5" t="s">
        <v>5445</v>
      </c>
      <c r="C1131" t="s">
        <v>5446</v>
      </c>
      <c r="D1131" t="s">
        <v>327</v>
      </c>
      <c r="E1131" t="s">
        <v>327</v>
      </c>
      <c r="F1131" t="s">
        <v>327</v>
      </c>
      <c r="G1131" t="s">
        <v>327</v>
      </c>
      <c r="H1131" t="s">
        <v>327</v>
      </c>
      <c r="I1131" t="s">
        <v>5447</v>
      </c>
    </row>
    <row r="1132" spans="1:9">
      <c r="A1132" s="5" t="s">
        <v>327</v>
      </c>
      <c r="B1132" s="5" t="s">
        <v>5448</v>
      </c>
      <c r="C1132" t="s">
        <v>5449</v>
      </c>
      <c r="D1132" t="s">
        <v>327</v>
      </c>
      <c r="E1132" t="s">
        <v>327</v>
      </c>
      <c r="F1132" t="s">
        <v>327</v>
      </c>
      <c r="G1132" t="s">
        <v>327</v>
      </c>
      <c r="H1132" t="s">
        <v>327</v>
      </c>
      <c r="I1132" t="s">
        <v>5450</v>
      </c>
    </row>
    <row r="1133" spans="1:9">
      <c r="A1133" s="5" t="s">
        <v>327</v>
      </c>
      <c r="B1133" s="5" t="s">
        <v>5451</v>
      </c>
      <c r="C1133" t="s">
        <v>5452</v>
      </c>
      <c r="D1133" t="s">
        <v>327</v>
      </c>
      <c r="E1133" t="s">
        <v>327</v>
      </c>
      <c r="F1133" t="s">
        <v>327</v>
      </c>
      <c r="G1133" t="s">
        <v>327</v>
      </c>
      <c r="H1133" t="s">
        <v>327</v>
      </c>
      <c r="I1133" t="s">
        <v>5453</v>
      </c>
    </row>
    <row r="1134" spans="1:9">
      <c r="A1134" s="5" t="s">
        <v>327</v>
      </c>
      <c r="B1134" s="5" t="s">
        <v>5454</v>
      </c>
      <c r="C1134" t="s">
        <v>5455</v>
      </c>
      <c r="D1134" t="s">
        <v>327</v>
      </c>
      <c r="E1134" t="s">
        <v>327</v>
      </c>
      <c r="F1134" t="s">
        <v>327</v>
      </c>
      <c r="G1134" t="s">
        <v>327</v>
      </c>
      <c r="H1134" t="s">
        <v>327</v>
      </c>
      <c r="I1134" t="s">
        <v>5456</v>
      </c>
    </row>
    <row r="1135" spans="1:9">
      <c r="A1135" s="5" t="s">
        <v>327</v>
      </c>
      <c r="B1135" s="5" t="s">
        <v>5457</v>
      </c>
      <c r="C1135" t="s">
        <v>5458</v>
      </c>
      <c r="D1135" t="s">
        <v>327</v>
      </c>
      <c r="E1135" t="s">
        <v>327</v>
      </c>
      <c r="F1135" t="s">
        <v>327</v>
      </c>
      <c r="G1135" t="s">
        <v>327</v>
      </c>
      <c r="H1135" t="s">
        <v>327</v>
      </c>
      <c r="I1135" t="s">
        <v>1943</v>
      </c>
    </row>
    <row r="1136" spans="1:9">
      <c r="A1136" s="5" t="s">
        <v>327</v>
      </c>
      <c r="B1136" s="5" t="s">
        <v>5459</v>
      </c>
      <c r="C1136" t="s">
        <v>5460</v>
      </c>
      <c r="D1136" t="s">
        <v>327</v>
      </c>
      <c r="E1136" t="s">
        <v>327</v>
      </c>
      <c r="F1136" t="s">
        <v>327</v>
      </c>
      <c r="G1136" t="s">
        <v>327</v>
      </c>
      <c r="H1136" t="s">
        <v>327</v>
      </c>
      <c r="I1136" t="s">
        <v>2908</v>
      </c>
    </row>
    <row r="1137" spans="1:9">
      <c r="A1137" s="5" t="s">
        <v>327</v>
      </c>
      <c r="B1137" s="5" t="s">
        <v>5461</v>
      </c>
      <c r="C1137" t="s">
        <v>5462</v>
      </c>
      <c r="D1137" t="s">
        <v>327</v>
      </c>
      <c r="E1137" t="s">
        <v>327</v>
      </c>
      <c r="F1137" t="s">
        <v>327</v>
      </c>
      <c r="G1137" t="s">
        <v>327</v>
      </c>
      <c r="H1137" t="s">
        <v>327</v>
      </c>
      <c r="I1137" t="s">
        <v>5463</v>
      </c>
    </row>
    <row r="1138" spans="1:9">
      <c r="A1138" s="5" t="s">
        <v>327</v>
      </c>
      <c r="B1138" s="5" t="s">
        <v>5464</v>
      </c>
      <c r="C1138" t="s">
        <v>5465</v>
      </c>
      <c r="D1138" t="s">
        <v>327</v>
      </c>
      <c r="E1138" t="s">
        <v>327</v>
      </c>
      <c r="F1138" t="s">
        <v>327</v>
      </c>
      <c r="G1138" t="s">
        <v>327</v>
      </c>
      <c r="H1138" t="s">
        <v>327</v>
      </c>
      <c r="I1138" t="s">
        <v>2908</v>
      </c>
    </row>
    <row r="1139" spans="1:9">
      <c r="A1139" s="5" t="s">
        <v>327</v>
      </c>
      <c r="B1139" s="5" t="s">
        <v>5466</v>
      </c>
      <c r="C1139" t="s">
        <v>5467</v>
      </c>
      <c r="D1139" t="s">
        <v>327</v>
      </c>
      <c r="E1139" t="s">
        <v>327</v>
      </c>
      <c r="F1139" t="s">
        <v>327</v>
      </c>
      <c r="G1139" t="s">
        <v>327</v>
      </c>
      <c r="H1139" t="s">
        <v>327</v>
      </c>
      <c r="I1139" t="s">
        <v>5468</v>
      </c>
    </row>
    <row r="1140" spans="1:9">
      <c r="A1140" s="5" t="s">
        <v>327</v>
      </c>
      <c r="B1140" s="5" t="s">
        <v>5469</v>
      </c>
      <c r="C1140" t="s">
        <v>5470</v>
      </c>
      <c r="D1140" t="s">
        <v>327</v>
      </c>
      <c r="E1140" t="s">
        <v>327</v>
      </c>
      <c r="F1140" t="s">
        <v>327</v>
      </c>
      <c r="G1140" t="s">
        <v>327</v>
      </c>
      <c r="H1140" t="s">
        <v>327</v>
      </c>
      <c r="I1140" t="s">
        <v>5471</v>
      </c>
    </row>
    <row r="1141" spans="1:9">
      <c r="A1141" s="5" t="s">
        <v>327</v>
      </c>
      <c r="B1141" s="5" t="s">
        <v>5472</v>
      </c>
      <c r="C1141" t="s">
        <v>5473</v>
      </c>
      <c r="D1141" t="s">
        <v>327</v>
      </c>
      <c r="E1141" t="s">
        <v>327</v>
      </c>
      <c r="F1141" t="s">
        <v>327</v>
      </c>
      <c r="G1141" t="s">
        <v>327</v>
      </c>
      <c r="H1141" t="s">
        <v>327</v>
      </c>
      <c r="I1141" t="s">
        <v>5474</v>
      </c>
    </row>
    <row r="1142" spans="1:9">
      <c r="A1142" s="5" t="s">
        <v>327</v>
      </c>
      <c r="B1142" s="5" t="s">
        <v>5475</v>
      </c>
      <c r="C1142" t="s">
        <v>5476</v>
      </c>
      <c r="D1142" t="s">
        <v>327</v>
      </c>
      <c r="E1142" t="s">
        <v>327</v>
      </c>
      <c r="F1142" t="s">
        <v>327</v>
      </c>
      <c r="G1142" t="s">
        <v>327</v>
      </c>
      <c r="H1142" t="s">
        <v>327</v>
      </c>
      <c r="I1142" t="s">
        <v>5477</v>
      </c>
    </row>
    <row r="1143" spans="1:9">
      <c r="A1143" s="5" t="s">
        <v>327</v>
      </c>
      <c r="B1143" s="5" t="s">
        <v>5478</v>
      </c>
      <c r="C1143" t="s">
        <v>5479</v>
      </c>
      <c r="D1143" t="s">
        <v>327</v>
      </c>
      <c r="E1143" t="s">
        <v>327</v>
      </c>
      <c r="F1143" t="s">
        <v>327</v>
      </c>
      <c r="G1143" t="s">
        <v>327</v>
      </c>
      <c r="H1143" t="s">
        <v>327</v>
      </c>
      <c r="I1143" t="s">
        <v>5480</v>
      </c>
    </row>
    <row r="1144" spans="1:9">
      <c r="A1144" s="5" t="s">
        <v>327</v>
      </c>
      <c r="B1144" s="5" t="s">
        <v>5481</v>
      </c>
      <c r="C1144" t="s">
        <v>5482</v>
      </c>
      <c r="D1144" t="s">
        <v>327</v>
      </c>
      <c r="E1144" t="s">
        <v>327</v>
      </c>
      <c r="F1144" t="s">
        <v>327</v>
      </c>
      <c r="G1144" t="s">
        <v>327</v>
      </c>
      <c r="H1144" t="s">
        <v>327</v>
      </c>
      <c r="I1144" t="s">
        <v>3430</v>
      </c>
    </row>
    <row r="1145" spans="1:9">
      <c r="A1145" s="5" t="s">
        <v>327</v>
      </c>
      <c r="B1145" s="5" t="s">
        <v>5483</v>
      </c>
      <c r="C1145" t="s">
        <v>5484</v>
      </c>
      <c r="D1145" t="s">
        <v>327</v>
      </c>
      <c r="E1145" t="s">
        <v>327</v>
      </c>
      <c r="F1145" t="s">
        <v>327</v>
      </c>
      <c r="G1145" t="s">
        <v>327</v>
      </c>
      <c r="H1145" t="s">
        <v>327</v>
      </c>
      <c r="I1145" t="s">
        <v>1181</v>
      </c>
    </row>
    <row r="1146" spans="1:9">
      <c r="A1146" s="5" t="s">
        <v>327</v>
      </c>
      <c r="B1146" s="5" t="s">
        <v>5485</v>
      </c>
      <c r="C1146" t="s">
        <v>5486</v>
      </c>
      <c r="D1146" t="s">
        <v>327</v>
      </c>
      <c r="E1146" t="s">
        <v>327</v>
      </c>
      <c r="F1146" t="s">
        <v>327</v>
      </c>
      <c r="G1146" t="s">
        <v>327</v>
      </c>
      <c r="H1146" t="s">
        <v>327</v>
      </c>
      <c r="I1146" t="s">
        <v>3494</v>
      </c>
    </row>
    <row r="1147" spans="1:9">
      <c r="A1147" s="5" t="s">
        <v>327</v>
      </c>
      <c r="B1147" s="5" t="s">
        <v>5487</v>
      </c>
      <c r="C1147" t="s">
        <v>5488</v>
      </c>
      <c r="D1147" t="s">
        <v>327</v>
      </c>
      <c r="E1147" t="s">
        <v>327</v>
      </c>
      <c r="F1147" t="s">
        <v>327</v>
      </c>
      <c r="G1147" t="s">
        <v>327</v>
      </c>
      <c r="H1147" t="s">
        <v>327</v>
      </c>
      <c r="I1147" t="s">
        <v>1092</v>
      </c>
    </row>
    <row r="1148" spans="1:9">
      <c r="A1148" s="5" t="s">
        <v>327</v>
      </c>
      <c r="B1148" s="5" t="s">
        <v>5489</v>
      </c>
      <c r="C1148" t="s">
        <v>5490</v>
      </c>
      <c r="D1148" t="s">
        <v>327</v>
      </c>
      <c r="E1148" t="s">
        <v>327</v>
      </c>
      <c r="F1148" t="s">
        <v>327</v>
      </c>
      <c r="G1148" t="s">
        <v>327</v>
      </c>
      <c r="H1148" t="s">
        <v>327</v>
      </c>
      <c r="I1148" t="s">
        <v>5491</v>
      </c>
    </row>
    <row r="1149" spans="1:9">
      <c r="A1149" s="5" t="s">
        <v>327</v>
      </c>
      <c r="B1149" s="5" t="s">
        <v>5492</v>
      </c>
      <c r="C1149" t="s">
        <v>5493</v>
      </c>
      <c r="D1149" t="s">
        <v>327</v>
      </c>
      <c r="E1149" t="s">
        <v>327</v>
      </c>
      <c r="F1149" t="s">
        <v>327</v>
      </c>
      <c r="G1149" t="s">
        <v>327</v>
      </c>
      <c r="H1149" t="s">
        <v>327</v>
      </c>
      <c r="I1149" t="s">
        <v>2550</v>
      </c>
    </row>
    <row r="1150" spans="1:9">
      <c r="A1150" s="5" t="s">
        <v>327</v>
      </c>
      <c r="B1150" s="5" t="s">
        <v>8</v>
      </c>
      <c r="C1150" t="s">
        <v>134</v>
      </c>
      <c r="D1150" t="s">
        <v>327</v>
      </c>
      <c r="E1150" t="s">
        <v>327</v>
      </c>
      <c r="F1150" t="s">
        <v>327</v>
      </c>
      <c r="G1150" t="s">
        <v>327</v>
      </c>
      <c r="H1150" t="s">
        <v>327</v>
      </c>
      <c r="I1150" t="s">
        <v>5494</v>
      </c>
    </row>
    <row r="1151" spans="1:9">
      <c r="A1151" s="5" t="s">
        <v>327</v>
      </c>
      <c r="B1151" s="5" t="s">
        <v>5495</v>
      </c>
      <c r="C1151" t="s">
        <v>5496</v>
      </c>
      <c r="D1151" t="s">
        <v>327</v>
      </c>
      <c r="E1151" t="s">
        <v>327</v>
      </c>
      <c r="F1151" t="s">
        <v>327</v>
      </c>
      <c r="G1151" t="s">
        <v>327</v>
      </c>
      <c r="H1151" t="s">
        <v>327</v>
      </c>
      <c r="I1151" t="s">
        <v>5497</v>
      </c>
    </row>
    <row r="1152" spans="1:9">
      <c r="A1152" s="5" t="s">
        <v>327</v>
      </c>
      <c r="B1152" s="5" t="s">
        <v>5498</v>
      </c>
      <c r="C1152" t="s">
        <v>5499</v>
      </c>
      <c r="D1152" t="s">
        <v>327</v>
      </c>
      <c r="E1152" t="s">
        <v>327</v>
      </c>
      <c r="F1152" t="s">
        <v>327</v>
      </c>
      <c r="G1152" t="s">
        <v>327</v>
      </c>
      <c r="H1152" t="s">
        <v>327</v>
      </c>
      <c r="I1152" t="s">
        <v>5500</v>
      </c>
    </row>
    <row r="1153" spans="1:9">
      <c r="A1153" s="5" t="s">
        <v>327</v>
      </c>
      <c r="B1153" s="5" t="s">
        <v>5501</v>
      </c>
      <c r="C1153" t="s">
        <v>5502</v>
      </c>
      <c r="D1153" t="s">
        <v>327</v>
      </c>
      <c r="E1153" t="s">
        <v>327</v>
      </c>
      <c r="F1153" t="s">
        <v>327</v>
      </c>
      <c r="G1153" t="s">
        <v>327</v>
      </c>
      <c r="H1153" t="s">
        <v>327</v>
      </c>
      <c r="I1153" t="s">
        <v>5456</v>
      </c>
    </row>
    <row r="1154" spans="1:9">
      <c r="A1154" s="5" t="s">
        <v>327</v>
      </c>
      <c r="B1154" s="5" t="s">
        <v>5503</v>
      </c>
      <c r="C1154" t="s">
        <v>5504</v>
      </c>
      <c r="D1154" t="s">
        <v>327</v>
      </c>
      <c r="E1154" t="s">
        <v>327</v>
      </c>
      <c r="F1154" t="s">
        <v>327</v>
      </c>
      <c r="G1154" t="s">
        <v>327</v>
      </c>
      <c r="H1154" t="s">
        <v>327</v>
      </c>
      <c r="I1154" t="s">
        <v>2908</v>
      </c>
    </row>
    <row r="1155" spans="1:9">
      <c r="A1155" s="5" t="s">
        <v>327</v>
      </c>
      <c r="B1155" s="5" t="s">
        <v>5505</v>
      </c>
      <c r="C1155" t="s">
        <v>5506</v>
      </c>
      <c r="D1155" t="s">
        <v>327</v>
      </c>
      <c r="E1155" t="s">
        <v>327</v>
      </c>
      <c r="F1155" t="s">
        <v>327</v>
      </c>
      <c r="G1155" t="s">
        <v>327</v>
      </c>
      <c r="H1155" t="s">
        <v>327</v>
      </c>
      <c r="I1155" t="s">
        <v>2509</v>
      </c>
    </row>
    <row r="1156" spans="1:9">
      <c r="A1156" s="5" t="s">
        <v>327</v>
      </c>
      <c r="B1156" s="5" t="s">
        <v>5507</v>
      </c>
      <c r="C1156" t="s">
        <v>5508</v>
      </c>
      <c r="D1156" t="s">
        <v>327</v>
      </c>
      <c r="E1156" t="s">
        <v>327</v>
      </c>
      <c r="F1156" t="s">
        <v>327</v>
      </c>
      <c r="G1156" t="s">
        <v>327</v>
      </c>
      <c r="H1156" t="s">
        <v>327</v>
      </c>
      <c r="I1156" t="s">
        <v>3303</v>
      </c>
    </row>
    <row r="1157" spans="1:9">
      <c r="A1157" s="5" t="s">
        <v>327</v>
      </c>
      <c r="B1157" s="5" t="s">
        <v>5509</v>
      </c>
      <c r="C1157" t="s">
        <v>5510</v>
      </c>
      <c r="D1157" t="s">
        <v>327</v>
      </c>
      <c r="E1157" t="s">
        <v>327</v>
      </c>
      <c r="F1157" t="s">
        <v>327</v>
      </c>
      <c r="G1157" t="s">
        <v>327</v>
      </c>
      <c r="H1157" t="s">
        <v>327</v>
      </c>
      <c r="I1157" t="s">
        <v>5427</v>
      </c>
    </row>
    <row r="1158" spans="1:9">
      <c r="A1158" s="5" t="s">
        <v>327</v>
      </c>
      <c r="B1158" s="5" t="s">
        <v>5511</v>
      </c>
      <c r="C1158" t="s">
        <v>5512</v>
      </c>
      <c r="D1158" t="s">
        <v>327</v>
      </c>
      <c r="E1158" t="s">
        <v>327</v>
      </c>
      <c r="F1158" t="s">
        <v>327</v>
      </c>
      <c r="G1158" t="s">
        <v>327</v>
      </c>
      <c r="H1158" t="s">
        <v>327</v>
      </c>
      <c r="I1158" t="s">
        <v>5513</v>
      </c>
    </row>
    <row r="1159" spans="1:9">
      <c r="A1159" s="5" t="s">
        <v>327</v>
      </c>
      <c r="B1159" s="5" t="s">
        <v>5514</v>
      </c>
      <c r="C1159" t="s">
        <v>5515</v>
      </c>
      <c r="D1159" t="s">
        <v>327</v>
      </c>
      <c r="E1159" t="s">
        <v>327</v>
      </c>
      <c r="F1159" t="s">
        <v>327</v>
      </c>
      <c r="G1159" t="s">
        <v>327</v>
      </c>
      <c r="H1159" t="s">
        <v>327</v>
      </c>
      <c r="I1159" t="s">
        <v>5516</v>
      </c>
    </row>
    <row r="1160" spans="1:9">
      <c r="A1160" s="5" t="s">
        <v>327</v>
      </c>
      <c r="B1160" s="5" t="s">
        <v>5517</v>
      </c>
      <c r="C1160" t="s">
        <v>5518</v>
      </c>
      <c r="D1160" t="s">
        <v>327</v>
      </c>
      <c r="E1160" t="s">
        <v>327</v>
      </c>
      <c r="F1160" t="s">
        <v>327</v>
      </c>
      <c r="G1160" t="s">
        <v>327</v>
      </c>
      <c r="H1160" t="s">
        <v>327</v>
      </c>
      <c r="I1160" t="s">
        <v>5519</v>
      </c>
    </row>
    <row r="1161" spans="1:9">
      <c r="A1161" s="5" t="s">
        <v>327</v>
      </c>
      <c r="B1161" s="5" t="s">
        <v>5520</v>
      </c>
      <c r="C1161" t="s">
        <v>5521</v>
      </c>
      <c r="D1161" t="s">
        <v>327</v>
      </c>
      <c r="E1161" t="s">
        <v>327</v>
      </c>
      <c r="F1161" t="s">
        <v>327</v>
      </c>
      <c r="G1161" t="s">
        <v>327</v>
      </c>
      <c r="H1161" t="s">
        <v>327</v>
      </c>
      <c r="I1161" t="s">
        <v>5522</v>
      </c>
    </row>
    <row r="1162" spans="1:9">
      <c r="A1162" s="5" t="s">
        <v>327</v>
      </c>
      <c r="B1162" s="5" t="s">
        <v>5523</v>
      </c>
      <c r="C1162" t="s">
        <v>5524</v>
      </c>
      <c r="D1162" t="s">
        <v>327</v>
      </c>
      <c r="E1162" t="s">
        <v>327</v>
      </c>
      <c r="F1162" t="s">
        <v>327</v>
      </c>
      <c r="G1162" t="s">
        <v>327</v>
      </c>
      <c r="H1162" t="s">
        <v>327</v>
      </c>
      <c r="I1162" t="s">
        <v>5525</v>
      </c>
    </row>
    <row r="1163" spans="1:9">
      <c r="A1163" s="5" t="s">
        <v>327</v>
      </c>
      <c r="B1163" s="5" t="s">
        <v>5526</v>
      </c>
      <c r="C1163" t="s">
        <v>5527</v>
      </c>
      <c r="D1163" t="s">
        <v>327</v>
      </c>
      <c r="E1163" t="s">
        <v>327</v>
      </c>
      <c r="F1163" t="s">
        <v>327</v>
      </c>
      <c r="G1163" t="s">
        <v>327</v>
      </c>
      <c r="H1163" t="s">
        <v>327</v>
      </c>
      <c r="I1163" t="s">
        <v>5528</v>
      </c>
    </row>
    <row r="1164" spans="1:9">
      <c r="A1164" s="5" t="s">
        <v>327</v>
      </c>
      <c r="B1164" s="5" t="s">
        <v>5529</v>
      </c>
      <c r="C1164" t="s">
        <v>5530</v>
      </c>
      <c r="D1164" t="s">
        <v>327</v>
      </c>
      <c r="E1164" t="s">
        <v>327</v>
      </c>
      <c r="F1164" t="s">
        <v>327</v>
      </c>
      <c r="G1164" t="s">
        <v>327</v>
      </c>
      <c r="H1164" t="s">
        <v>327</v>
      </c>
      <c r="I1164" t="s">
        <v>5531</v>
      </c>
    </row>
    <row r="1165" spans="1:9">
      <c r="A1165" s="5" t="s">
        <v>327</v>
      </c>
      <c r="B1165" s="5" t="s">
        <v>5532</v>
      </c>
      <c r="C1165" t="s">
        <v>5533</v>
      </c>
      <c r="D1165" t="s">
        <v>327</v>
      </c>
      <c r="E1165" t="s">
        <v>327</v>
      </c>
      <c r="F1165" t="s">
        <v>327</v>
      </c>
      <c r="G1165" t="s">
        <v>327</v>
      </c>
      <c r="H1165" t="s">
        <v>327</v>
      </c>
      <c r="I1165" t="s">
        <v>5534</v>
      </c>
    </row>
    <row r="1166" spans="1:9">
      <c r="A1166" s="5" t="s">
        <v>327</v>
      </c>
      <c r="B1166" s="5" t="s">
        <v>5535</v>
      </c>
      <c r="C1166" t="s">
        <v>5536</v>
      </c>
      <c r="D1166" t="s">
        <v>327</v>
      </c>
      <c r="E1166" t="s">
        <v>327</v>
      </c>
      <c r="F1166" t="s">
        <v>327</v>
      </c>
      <c r="G1166" t="s">
        <v>327</v>
      </c>
      <c r="H1166" t="s">
        <v>327</v>
      </c>
      <c r="I1166" t="s">
        <v>1239</v>
      </c>
    </row>
    <row r="1167" spans="1:9">
      <c r="A1167" s="5" t="s">
        <v>327</v>
      </c>
      <c r="B1167" s="5" t="s">
        <v>5537</v>
      </c>
      <c r="C1167" t="s">
        <v>5538</v>
      </c>
      <c r="D1167" t="s">
        <v>327</v>
      </c>
      <c r="E1167" t="s">
        <v>327</v>
      </c>
      <c r="F1167" t="s">
        <v>327</v>
      </c>
      <c r="G1167" t="s">
        <v>327</v>
      </c>
      <c r="H1167" t="s">
        <v>327</v>
      </c>
      <c r="I1167" t="s">
        <v>5539</v>
      </c>
    </row>
    <row r="1168" spans="1:9">
      <c r="A1168" s="5" t="s">
        <v>327</v>
      </c>
      <c r="B1168" s="5" t="s">
        <v>5540</v>
      </c>
      <c r="C1168" t="s">
        <v>5541</v>
      </c>
      <c r="D1168" t="s">
        <v>327</v>
      </c>
      <c r="E1168" t="s">
        <v>327</v>
      </c>
      <c r="F1168" t="s">
        <v>327</v>
      </c>
      <c r="G1168" t="s">
        <v>327</v>
      </c>
      <c r="H1168" t="s">
        <v>327</v>
      </c>
      <c r="I1168" t="s">
        <v>5542</v>
      </c>
    </row>
    <row r="1169" spans="1:9">
      <c r="A1169" s="5" t="s">
        <v>327</v>
      </c>
      <c r="B1169" s="5" t="s">
        <v>5543</v>
      </c>
      <c r="C1169" t="s">
        <v>5544</v>
      </c>
      <c r="D1169" t="s">
        <v>327</v>
      </c>
      <c r="E1169" t="s">
        <v>327</v>
      </c>
      <c r="F1169" t="s">
        <v>327</v>
      </c>
      <c r="G1169" t="s">
        <v>327</v>
      </c>
      <c r="H1169" t="s">
        <v>327</v>
      </c>
      <c r="I1169" t="s">
        <v>5545</v>
      </c>
    </row>
    <row r="1170" spans="1:9">
      <c r="A1170" s="5" t="s">
        <v>327</v>
      </c>
      <c r="B1170" s="5" t="s">
        <v>5546</v>
      </c>
      <c r="C1170" t="s">
        <v>5547</v>
      </c>
      <c r="D1170" t="s">
        <v>327</v>
      </c>
      <c r="E1170" t="s">
        <v>327</v>
      </c>
      <c r="F1170" t="s">
        <v>327</v>
      </c>
      <c r="G1170" t="s">
        <v>327</v>
      </c>
      <c r="H1170" t="s">
        <v>327</v>
      </c>
      <c r="I1170" t="s">
        <v>5548</v>
      </c>
    </row>
    <row r="1171" spans="1:9">
      <c r="A1171" s="5" t="s">
        <v>327</v>
      </c>
      <c r="B1171" s="5" t="s">
        <v>5549</v>
      </c>
      <c r="C1171" t="s">
        <v>5550</v>
      </c>
      <c r="D1171" t="s">
        <v>327</v>
      </c>
      <c r="E1171" t="s">
        <v>327</v>
      </c>
      <c r="F1171" t="s">
        <v>327</v>
      </c>
      <c r="G1171" t="s">
        <v>327</v>
      </c>
      <c r="H1171" t="s">
        <v>327</v>
      </c>
      <c r="I1171" t="s">
        <v>5551</v>
      </c>
    </row>
    <row r="1172" spans="1:9">
      <c r="A1172" s="5" t="s">
        <v>327</v>
      </c>
      <c r="B1172" s="5" t="s">
        <v>5552</v>
      </c>
      <c r="C1172" t="s">
        <v>5553</v>
      </c>
      <c r="D1172" t="s">
        <v>327</v>
      </c>
      <c r="E1172" t="s">
        <v>327</v>
      </c>
      <c r="F1172" t="s">
        <v>327</v>
      </c>
      <c r="G1172" t="s">
        <v>327</v>
      </c>
      <c r="H1172" t="s">
        <v>327</v>
      </c>
      <c r="I1172" t="s">
        <v>3641</v>
      </c>
    </row>
    <row r="1173" spans="1:9">
      <c r="A1173" s="5" t="s">
        <v>327</v>
      </c>
      <c r="B1173" s="5" t="s">
        <v>5554</v>
      </c>
      <c r="C1173" t="s">
        <v>5555</v>
      </c>
      <c r="D1173" t="s">
        <v>327</v>
      </c>
      <c r="E1173" t="s">
        <v>327</v>
      </c>
      <c r="F1173" t="s">
        <v>327</v>
      </c>
      <c r="G1173" t="s">
        <v>327</v>
      </c>
      <c r="H1173" t="s">
        <v>327</v>
      </c>
      <c r="I1173" t="s">
        <v>5556</v>
      </c>
    </row>
    <row r="1174" spans="1:9">
      <c r="A1174" s="5" t="s">
        <v>327</v>
      </c>
      <c r="B1174" s="5" t="s">
        <v>5557</v>
      </c>
      <c r="C1174" t="s">
        <v>5558</v>
      </c>
      <c r="D1174" t="s">
        <v>327</v>
      </c>
      <c r="E1174" t="s">
        <v>327</v>
      </c>
      <c r="F1174" t="s">
        <v>327</v>
      </c>
      <c r="G1174" t="s">
        <v>327</v>
      </c>
      <c r="H1174" t="s">
        <v>327</v>
      </c>
      <c r="I1174" t="s">
        <v>5559</v>
      </c>
    </row>
    <row r="1175" spans="1:9">
      <c r="A1175" s="5" t="s">
        <v>327</v>
      </c>
      <c r="B1175" s="5" t="s">
        <v>5560</v>
      </c>
      <c r="C1175" t="s">
        <v>5561</v>
      </c>
      <c r="D1175" t="s">
        <v>327</v>
      </c>
      <c r="E1175" t="s">
        <v>327</v>
      </c>
      <c r="F1175" t="s">
        <v>327</v>
      </c>
      <c r="G1175" t="s">
        <v>327</v>
      </c>
      <c r="H1175" t="s">
        <v>327</v>
      </c>
      <c r="I1175" t="s">
        <v>5562</v>
      </c>
    </row>
    <row r="1176" spans="1:9">
      <c r="A1176" s="5" t="s">
        <v>327</v>
      </c>
      <c r="B1176" s="5" t="s">
        <v>5563</v>
      </c>
      <c r="C1176" t="s">
        <v>5564</v>
      </c>
      <c r="D1176" t="s">
        <v>327</v>
      </c>
      <c r="E1176" t="s">
        <v>327</v>
      </c>
      <c r="F1176" t="s">
        <v>327</v>
      </c>
      <c r="G1176" t="s">
        <v>327</v>
      </c>
      <c r="H1176" t="s">
        <v>327</v>
      </c>
      <c r="I1176" t="s">
        <v>5565</v>
      </c>
    </row>
    <row r="1177" spans="1:9">
      <c r="A1177" s="5" t="s">
        <v>327</v>
      </c>
      <c r="B1177" s="5" t="s">
        <v>5566</v>
      </c>
      <c r="C1177" t="s">
        <v>5567</v>
      </c>
      <c r="D1177" t="s">
        <v>327</v>
      </c>
      <c r="E1177" t="s">
        <v>327</v>
      </c>
      <c r="F1177" t="s">
        <v>327</v>
      </c>
      <c r="G1177" t="s">
        <v>327</v>
      </c>
      <c r="H1177" t="s">
        <v>327</v>
      </c>
      <c r="I1177" t="s">
        <v>5568</v>
      </c>
    </row>
    <row r="1178" spans="1:9">
      <c r="A1178" s="5" t="s">
        <v>327</v>
      </c>
      <c r="B1178" s="5" t="s">
        <v>5569</v>
      </c>
      <c r="C1178" t="s">
        <v>5570</v>
      </c>
      <c r="D1178" t="s">
        <v>327</v>
      </c>
      <c r="E1178" t="s">
        <v>327</v>
      </c>
      <c r="F1178" t="s">
        <v>327</v>
      </c>
      <c r="G1178" t="s">
        <v>327</v>
      </c>
      <c r="H1178" t="s">
        <v>327</v>
      </c>
      <c r="I1178" t="s">
        <v>5571</v>
      </c>
    </row>
    <row r="1179" spans="1:9">
      <c r="A1179" s="5" t="s">
        <v>327</v>
      </c>
      <c r="B1179" s="5" t="s">
        <v>5572</v>
      </c>
      <c r="C1179" t="s">
        <v>5573</v>
      </c>
      <c r="D1179" t="s">
        <v>327</v>
      </c>
      <c r="E1179" t="s">
        <v>327</v>
      </c>
      <c r="F1179" t="s">
        <v>327</v>
      </c>
      <c r="G1179" t="s">
        <v>327</v>
      </c>
      <c r="H1179" t="s">
        <v>327</v>
      </c>
      <c r="I1179" t="s">
        <v>3641</v>
      </c>
    </row>
    <row r="1180" spans="1:9">
      <c r="A1180" s="5" t="s">
        <v>327</v>
      </c>
      <c r="B1180" s="5" t="s">
        <v>5574</v>
      </c>
      <c r="C1180" t="s">
        <v>5575</v>
      </c>
      <c r="D1180" t="s">
        <v>327</v>
      </c>
      <c r="E1180" t="s">
        <v>327</v>
      </c>
      <c r="F1180" t="s">
        <v>327</v>
      </c>
      <c r="G1180" t="s">
        <v>327</v>
      </c>
      <c r="H1180" t="s">
        <v>327</v>
      </c>
      <c r="I1180" t="s">
        <v>5576</v>
      </c>
    </row>
    <row r="1181" spans="1:9">
      <c r="A1181" s="5" t="s">
        <v>327</v>
      </c>
      <c r="B1181" s="5" t="s">
        <v>5577</v>
      </c>
      <c r="C1181" t="s">
        <v>5578</v>
      </c>
      <c r="D1181" t="s">
        <v>327</v>
      </c>
      <c r="E1181" t="s">
        <v>327</v>
      </c>
      <c r="F1181" t="s">
        <v>327</v>
      </c>
      <c r="G1181" t="s">
        <v>327</v>
      </c>
      <c r="H1181" t="s">
        <v>327</v>
      </c>
      <c r="I1181" t="s">
        <v>365</v>
      </c>
    </row>
    <row r="1182" spans="1:9">
      <c r="A1182" s="5" t="s">
        <v>327</v>
      </c>
      <c r="B1182" s="5" t="s">
        <v>5579</v>
      </c>
      <c r="C1182" t="s">
        <v>5580</v>
      </c>
      <c r="D1182" t="s">
        <v>327</v>
      </c>
      <c r="E1182" t="s">
        <v>327</v>
      </c>
      <c r="F1182" t="s">
        <v>327</v>
      </c>
      <c r="G1182" t="s">
        <v>327</v>
      </c>
      <c r="H1182" t="s">
        <v>327</v>
      </c>
      <c r="I1182" t="s">
        <v>5581</v>
      </c>
    </row>
    <row r="1183" spans="1:9">
      <c r="A1183" s="5" t="s">
        <v>327</v>
      </c>
      <c r="B1183" s="5" t="s">
        <v>5582</v>
      </c>
      <c r="C1183" t="s">
        <v>5583</v>
      </c>
      <c r="D1183" t="s">
        <v>327</v>
      </c>
      <c r="E1183" t="s">
        <v>327</v>
      </c>
      <c r="F1183" t="s">
        <v>327</v>
      </c>
      <c r="G1183" t="s">
        <v>327</v>
      </c>
      <c r="H1183" t="s">
        <v>327</v>
      </c>
      <c r="I1183" t="s">
        <v>3641</v>
      </c>
    </row>
    <row r="1184" spans="1:9">
      <c r="A1184" s="5" t="s">
        <v>327</v>
      </c>
      <c r="B1184" s="5" t="s">
        <v>5584</v>
      </c>
      <c r="C1184" t="s">
        <v>5585</v>
      </c>
      <c r="D1184" t="s">
        <v>327</v>
      </c>
      <c r="E1184" t="s">
        <v>327</v>
      </c>
      <c r="F1184" t="s">
        <v>327</v>
      </c>
      <c r="G1184" t="s">
        <v>327</v>
      </c>
      <c r="H1184" t="s">
        <v>327</v>
      </c>
      <c r="I1184" t="s">
        <v>5586</v>
      </c>
    </row>
    <row r="1185" spans="1:9">
      <c r="A1185" s="5" t="s">
        <v>327</v>
      </c>
      <c r="B1185" s="5" t="s">
        <v>5587</v>
      </c>
      <c r="C1185" t="s">
        <v>5588</v>
      </c>
      <c r="D1185" t="s">
        <v>327</v>
      </c>
      <c r="E1185" t="s">
        <v>327</v>
      </c>
      <c r="F1185" t="s">
        <v>327</v>
      </c>
      <c r="G1185" t="s">
        <v>327</v>
      </c>
      <c r="H1185" t="s">
        <v>327</v>
      </c>
      <c r="I1185" t="s">
        <v>3641</v>
      </c>
    </row>
    <row r="1186" spans="1:9">
      <c r="A1186" s="5" t="s">
        <v>327</v>
      </c>
      <c r="B1186" s="5" t="s">
        <v>5589</v>
      </c>
      <c r="C1186" t="s">
        <v>5590</v>
      </c>
      <c r="D1186" t="s">
        <v>327</v>
      </c>
      <c r="E1186" t="s">
        <v>327</v>
      </c>
      <c r="F1186" t="s">
        <v>327</v>
      </c>
      <c r="G1186" t="s">
        <v>327</v>
      </c>
      <c r="H1186" t="s">
        <v>327</v>
      </c>
      <c r="I1186" t="s">
        <v>3641</v>
      </c>
    </row>
    <row r="1187" spans="1:9">
      <c r="A1187" s="5" t="s">
        <v>327</v>
      </c>
      <c r="B1187" s="5" t="s">
        <v>5591</v>
      </c>
      <c r="C1187" t="s">
        <v>5592</v>
      </c>
      <c r="D1187" t="s">
        <v>327</v>
      </c>
      <c r="E1187" t="s">
        <v>327</v>
      </c>
      <c r="F1187" t="s">
        <v>327</v>
      </c>
      <c r="G1187" t="s">
        <v>327</v>
      </c>
      <c r="H1187" t="s">
        <v>327</v>
      </c>
      <c r="I1187" t="s">
        <v>5593</v>
      </c>
    </row>
    <row r="1188" spans="1:9">
      <c r="A1188" s="5" t="s">
        <v>327</v>
      </c>
      <c r="B1188" s="5" t="s">
        <v>5594</v>
      </c>
      <c r="C1188" t="s">
        <v>5595</v>
      </c>
      <c r="D1188" t="s">
        <v>327</v>
      </c>
      <c r="E1188" t="s">
        <v>327</v>
      </c>
      <c r="F1188" t="s">
        <v>327</v>
      </c>
      <c r="G1188" t="s">
        <v>327</v>
      </c>
      <c r="H1188" t="s">
        <v>327</v>
      </c>
      <c r="I1188" t="s">
        <v>5593</v>
      </c>
    </row>
    <row r="1189" spans="1:9">
      <c r="A1189" s="5" t="s">
        <v>327</v>
      </c>
      <c r="B1189" s="5" t="s">
        <v>5596</v>
      </c>
      <c r="C1189" t="s">
        <v>5597</v>
      </c>
      <c r="D1189" t="s">
        <v>327</v>
      </c>
      <c r="E1189" t="s">
        <v>327</v>
      </c>
      <c r="F1189" t="s">
        <v>327</v>
      </c>
      <c r="G1189" t="s">
        <v>327</v>
      </c>
      <c r="H1189" t="s">
        <v>327</v>
      </c>
      <c r="I1189" t="s">
        <v>5598</v>
      </c>
    </row>
    <row r="1190" spans="1:9">
      <c r="A1190" s="5" t="s">
        <v>327</v>
      </c>
      <c r="B1190" s="5" t="s">
        <v>5599</v>
      </c>
      <c r="C1190" t="s">
        <v>5600</v>
      </c>
      <c r="D1190" t="s">
        <v>327</v>
      </c>
      <c r="E1190" t="s">
        <v>327</v>
      </c>
      <c r="F1190" t="s">
        <v>327</v>
      </c>
      <c r="G1190" t="s">
        <v>327</v>
      </c>
      <c r="H1190" t="s">
        <v>327</v>
      </c>
      <c r="I1190" t="s">
        <v>5601</v>
      </c>
    </row>
    <row r="1191" spans="1:9">
      <c r="A1191" s="5" t="s">
        <v>327</v>
      </c>
      <c r="B1191" s="5" t="s">
        <v>5602</v>
      </c>
      <c r="C1191" t="s">
        <v>5603</v>
      </c>
      <c r="D1191" t="s">
        <v>327</v>
      </c>
      <c r="E1191" t="s">
        <v>327</v>
      </c>
      <c r="F1191" t="s">
        <v>327</v>
      </c>
      <c r="G1191" t="s">
        <v>327</v>
      </c>
      <c r="H1191" t="s">
        <v>327</v>
      </c>
      <c r="I1191" t="s">
        <v>3325</v>
      </c>
    </row>
    <row r="1192" spans="1:9">
      <c r="A1192" s="5" t="s">
        <v>327</v>
      </c>
      <c r="B1192" s="5" t="s">
        <v>5604</v>
      </c>
      <c r="C1192" t="s">
        <v>5605</v>
      </c>
      <c r="D1192" t="s">
        <v>327</v>
      </c>
      <c r="E1192" t="s">
        <v>327</v>
      </c>
      <c r="F1192" t="s">
        <v>327</v>
      </c>
      <c r="G1192" t="s">
        <v>327</v>
      </c>
      <c r="H1192" t="s">
        <v>327</v>
      </c>
      <c r="I1192" t="s">
        <v>3214</v>
      </c>
    </row>
    <row r="1193" spans="1:9">
      <c r="A1193" s="5" t="s">
        <v>327</v>
      </c>
      <c r="B1193" s="5" t="s">
        <v>5606</v>
      </c>
      <c r="C1193" t="s">
        <v>5607</v>
      </c>
      <c r="D1193" t="s">
        <v>327</v>
      </c>
      <c r="E1193" t="s">
        <v>327</v>
      </c>
      <c r="F1193" t="s">
        <v>327</v>
      </c>
      <c r="G1193" t="s">
        <v>327</v>
      </c>
      <c r="H1193" t="s">
        <v>327</v>
      </c>
      <c r="I1193" t="s">
        <v>1456</v>
      </c>
    </row>
    <row r="1194" spans="1:9">
      <c r="A1194" s="5" t="s">
        <v>327</v>
      </c>
      <c r="B1194" s="5" t="s">
        <v>5608</v>
      </c>
      <c r="C1194" t="s">
        <v>5609</v>
      </c>
      <c r="D1194" t="s">
        <v>327</v>
      </c>
      <c r="E1194" t="s">
        <v>327</v>
      </c>
      <c r="F1194" t="s">
        <v>327</v>
      </c>
      <c r="G1194" t="s">
        <v>327</v>
      </c>
      <c r="H1194" t="s">
        <v>327</v>
      </c>
      <c r="I1194" t="s">
        <v>471</v>
      </c>
    </row>
    <row r="1195" spans="1:9">
      <c r="A1195" s="5" t="s">
        <v>327</v>
      </c>
      <c r="B1195" s="5" t="s">
        <v>5610</v>
      </c>
      <c r="C1195" t="s">
        <v>5611</v>
      </c>
      <c r="D1195" t="s">
        <v>327</v>
      </c>
      <c r="E1195" t="s">
        <v>327</v>
      </c>
      <c r="F1195" t="s">
        <v>327</v>
      </c>
      <c r="G1195" t="s">
        <v>327</v>
      </c>
      <c r="H1195" t="s">
        <v>327</v>
      </c>
      <c r="I1195" t="s">
        <v>5612</v>
      </c>
    </row>
    <row r="1196" spans="1:9">
      <c r="A1196" s="5" t="s">
        <v>327</v>
      </c>
      <c r="B1196" s="5" t="s">
        <v>5613</v>
      </c>
      <c r="C1196" t="s">
        <v>5614</v>
      </c>
      <c r="D1196" t="s">
        <v>327</v>
      </c>
      <c r="E1196" t="s">
        <v>327</v>
      </c>
      <c r="F1196" t="s">
        <v>327</v>
      </c>
      <c r="G1196" t="s">
        <v>327</v>
      </c>
      <c r="H1196" t="s">
        <v>327</v>
      </c>
      <c r="I1196" t="s">
        <v>3198</v>
      </c>
    </row>
    <row r="1197" spans="1:9">
      <c r="A1197" s="5" t="s">
        <v>327</v>
      </c>
      <c r="B1197" s="5" t="s">
        <v>5615</v>
      </c>
      <c r="C1197" t="s">
        <v>5616</v>
      </c>
      <c r="D1197" t="s">
        <v>327</v>
      </c>
      <c r="E1197" t="s">
        <v>327</v>
      </c>
      <c r="F1197" t="s">
        <v>327</v>
      </c>
      <c r="G1197" t="s">
        <v>327</v>
      </c>
      <c r="H1197" t="s">
        <v>327</v>
      </c>
      <c r="I1197" t="s">
        <v>5617</v>
      </c>
    </row>
    <row r="1198" spans="1:9">
      <c r="A1198" s="5" t="s">
        <v>327</v>
      </c>
      <c r="B1198" s="5" t="s">
        <v>5618</v>
      </c>
      <c r="C1198" t="s">
        <v>5619</v>
      </c>
      <c r="D1198" t="s">
        <v>327</v>
      </c>
      <c r="E1198" t="s">
        <v>327</v>
      </c>
      <c r="F1198" t="s">
        <v>327</v>
      </c>
      <c r="G1198" t="s">
        <v>327</v>
      </c>
      <c r="H1198" t="s">
        <v>327</v>
      </c>
      <c r="I1198" t="s">
        <v>5620</v>
      </c>
    </row>
    <row r="1199" spans="1:9">
      <c r="A1199" s="5" t="s">
        <v>327</v>
      </c>
      <c r="B1199" s="5" t="s">
        <v>5621</v>
      </c>
      <c r="C1199" t="s">
        <v>5622</v>
      </c>
      <c r="D1199" t="s">
        <v>327</v>
      </c>
      <c r="E1199" t="s">
        <v>327</v>
      </c>
      <c r="F1199" t="s">
        <v>327</v>
      </c>
      <c r="G1199" t="s">
        <v>327</v>
      </c>
      <c r="H1199" t="s">
        <v>327</v>
      </c>
      <c r="I1199" t="s">
        <v>3246</v>
      </c>
    </row>
    <row r="1200" spans="1:9">
      <c r="A1200" s="5" t="s">
        <v>327</v>
      </c>
      <c r="B1200" s="5" t="s">
        <v>5623</v>
      </c>
      <c r="C1200" t="s">
        <v>5624</v>
      </c>
      <c r="D1200" t="s">
        <v>327</v>
      </c>
      <c r="E1200" t="s">
        <v>327</v>
      </c>
      <c r="F1200" t="s">
        <v>327</v>
      </c>
      <c r="G1200" t="s">
        <v>327</v>
      </c>
      <c r="H1200" t="s">
        <v>327</v>
      </c>
      <c r="I1200" t="s">
        <v>2717</v>
      </c>
    </row>
    <row r="1201" spans="1:9">
      <c r="A1201" s="5" t="s">
        <v>327</v>
      </c>
      <c r="B1201" s="5" t="s">
        <v>5625</v>
      </c>
      <c r="C1201" t="s">
        <v>5626</v>
      </c>
      <c r="D1201" t="s">
        <v>327</v>
      </c>
      <c r="E1201" t="s">
        <v>327</v>
      </c>
      <c r="F1201" t="s">
        <v>327</v>
      </c>
      <c r="G1201" t="s">
        <v>327</v>
      </c>
      <c r="H1201" t="s">
        <v>327</v>
      </c>
      <c r="I1201" t="s">
        <v>2958</v>
      </c>
    </row>
    <row r="1202" spans="1:9">
      <c r="A1202" s="5" t="s">
        <v>327</v>
      </c>
      <c r="B1202" s="5" t="s">
        <v>5627</v>
      </c>
      <c r="C1202" t="s">
        <v>5628</v>
      </c>
      <c r="D1202" t="s">
        <v>327</v>
      </c>
      <c r="E1202" t="s">
        <v>327</v>
      </c>
      <c r="F1202" t="s">
        <v>327</v>
      </c>
      <c r="G1202" t="s">
        <v>327</v>
      </c>
      <c r="H1202" t="s">
        <v>327</v>
      </c>
      <c r="I1202" t="s">
        <v>5629</v>
      </c>
    </row>
    <row r="1203" spans="1:9">
      <c r="A1203" s="5" t="s">
        <v>327</v>
      </c>
      <c r="B1203" s="5" t="s">
        <v>5630</v>
      </c>
      <c r="C1203" t="s">
        <v>5631</v>
      </c>
      <c r="D1203" t="s">
        <v>327</v>
      </c>
      <c r="E1203" t="s">
        <v>327</v>
      </c>
      <c r="F1203" t="s">
        <v>327</v>
      </c>
      <c r="G1203" t="s">
        <v>327</v>
      </c>
      <c r="H1203" t="s">
        <v>327</v>
      </c>
      <c r="I1203" t="s">
        <v>3214</v>
      </c>
    </row>
    <row r="1204" spans="1:9">
      <c r="A1204" s="5" t="s">
        <v>327</v>
      </c>
      <c r="B1204" s="5" t="s">
        <v>5632</v>
      </c>
      <c r="C1204" t="s">
        <v>5633</v>
      </c>
      <c r="D1204" t="s">
        <v>327</v>
      </c>
      <c r="E1204" t="s">
        <v>327</v>
      </c>
      <c r="F1204" t="s">
        <v>327</v>
      </c>
      <c r="G1204" t="s">
        <v>327</v>
      </c>
      <c r="H1204" t="s">
        <v>327</v>
      </c>
      <c r="I1204" t="s">
        <v>2642</v>
      </c>
    </row>
    <row r="1205" spans="1:9">
      <c r="A1205" s="5" t="s">
        <v>327</v>
      </c>
      <c r="B1205" s="5" t="s">
        <v>5634</v>
      </c>
      <c r="C1205" t="s">
        <v>5635</v>
      </c>
      <c r="D1205" t="s">
        <v>327</v>
      </c>
      <c r="E1205" t="s">
        <v>327</v>
      </c>
      <c r="F1205" t="s">
        <v>327</v>
      </c>
      <c r="G1205" t="s">
        <v>327</v>
      </c>
      <c r="H1205" t="s">
        <v>327</v>
      </c>
      <c r="I1205" t="s">
        <v>5636</v>
      </c>
    </row>
    <row r="1206" spans="1:9">
      <c r="A1206" s="5" t="s">
        <v>327</v>
      </c>
      <c r="B1206" s="5" t="s">
        <v>5637</v>
      </c>
      <c r="C1206" t="s">
        <v>5638</v>
      </c>
      <c r="D1206" t="s">
        <v>327</v>
      </c>
      <c r="E1206" t="s">
        <v>327</v>
      </c>
      <c r="F1206" t="s">
        <v>327</v>
      </c>
      <c r="G1206" t="s">
        <v>327</v>
      </c>
      <c r="H1206" t="s">
        <v>327</v>
      </c>
      <c r="I1206" t="s">
        <v>914</v>
      </c>
    </row>
    <row r="1207" spans="1:9">
      <c r="A1207" s="5" t="s">
        <v>327</v>
      </c>
      <c r="B1207" s="5" t="s">
        <v>5639</v>
      </c>
      <c r="C1207" t="s">
        <v>5640</v>
      </c>
      <c r="D1207" t="s">
        <v>327</v>
      </c>
      <c r="E1207" t="s">
        <v>327</v>
      </c>
      <c r="F1207" t="s">
        <v>327</v>
      </c>
      <c r="G1207" t="s">
        <v>327</v>
      </c>
      <c r="H1207" t="s">
        <v>327</v>
      </c>
      <c r="I1207" t="s">
        <v>5641</v>
      </c>
    </row>
    <row r="1208" spans="1:9">
      <c r="A1208" s="5" t="s">
        <v>327</v>
      </c>
      <c r="B1208" s="5" t="s">
        <v>5642</v>
      </c>
      <c r="C1208" t="s">
        <v>5643</v>
      </c>
      <c r="D1208" t="s">
        <v>327</v>
      </c>
      <c r="E1208" t="s">
        <v>327</v>
      </c>
      <c r="F1208" t="s">
        <v>327</v>
      </c>
      <c r="G1208" t="s">
        <v>327</v>
      </c>
      <c r="H1208" t="s">
        <v>327</v>
      </c>
      <c r="I1208" t="s">
        <v>2965</v>
      </c>
    </row>
    <row r="1209" spans="1:9">
      <c r="A1209" s="5" t="s">
        <v>327</v>
      </c>
      <c r="B1209" s="5" t="s">
        <v>5644</v>
      </c>
      <c r="C1209" t="s">
        <v>5645</v>
      </c>
      <c r="D1209" t="s">
        <v>327</v>
      </c>
      <c r="E1209" t="s">
        <v>327</v>
      </c>
      <c r="F1209" t="s">
        <v>327</v>
      </c>
      <c r="G1209" t="s">
        <v>327</v>
      </c>
      <c r="H1209" t="s">
        <v>327</v>
      </c>
      <c r="I1209" t="s">
        <v>3433</v>
      </c>
    </row>
    <row r="1210" spans="1:9">
      <c r="A1210" s="5" t="s">
        <v>327</v>
      </c>
      <c r="B1210" s="5" t="s">
        <v>5646</v>
      </c>
      <c r="C1210" t="s">
        <v>5647</v>
      </c>
      <c r="D1210" t="s">
        <v>327</v>
      </c>
      <c r="E1210" t="s">
        <v>327</v>
      </c>
      <c r="F1210" t="s">
        <v>327</v>
      </c>
      <c r="G1210" t="s">
        <v>327</v>
      </c>
      <c r="H1210" t="s">
        <v>327</v>
      </c>
      <c r="I1210" t="s">
        <v>5648</v>
      </c>
    </row>
    <row r="1211" spans="1:9">
      <c r="A1211" s="5" t="s">
        <v>327</v>
      </c>
      <c r="B1211" s="5" t="s">
        <v>3456</v>
      </c>
      <c r="C1211" t="s">
        <v>5649</v>
      </c>
      <c r="D1211" t="s">
        <v>327</v>
      </c>
      <c r="E1211" t="s">
        <v>327</v>
      </c>
      <c r="F1211" t="s">
        <v>327</v>
      </c>
      <c r="G1211" t="s">
        <v>327</v>
      </c>
      <c r="H1211" t="s">
        <v>327</v>
      </c>
      <c r="I1211" t="s">
        <v>5648</v>
      </c>
    </row>
    <row r="1212" spans="1:9">
      <c r="A1212" s="5" t="s">
        <v>327</v>
      </c>
      <c r="B1212" s="5" t="s">
        <v>5650</v>
      </c>
      <c r="C1212" t="s">
        <v>5651</v>
      </c>
      <c r="D1212" t="s">
        <v>327</v>
      </c>
      <c r="E1212" t="s">
        <v>327</v>
      </c>
      <c r="F1212" t="s">
        <v>327</v>
      </c>
      <c r="G1212" t="s">
        <v>327</v>
      </c>
      <c r="H1212" t="s">
        <v>327</v>
      </c>
      <c r="I1212" t="s">
        <v>816</v>
      </c>
    </row>
    <row r="1213" spans="1:9">
      <c r="A1213" s="5" t="s">
        <v>327</v>
      </c>
      <c r="B1213" s="5" t="s">
        <v>5652</v>
      </c>
      <c r="C1213" t="s">
        <v>5653</v>
      </c>
      <c r="D1213" t="s">
        <v>327</v>
      </c>
      <c r="E1213" t="s">
        <v>327</v>
      </c>
      <c r="F1213" t="s">
        <v>327</v>
      </c>
      <c r="G1213" t="s">
        <v>327</v>
      </c>
      <c r="H1213" t="s">
        <v>327</v>
      </c>
      <c r="I1213" t="s">
        <v>3217</v>
      </c>
    </row>
    <row r="1214" spans="1:9">
      <c r="A1214" s="5" t="s">
        <v>327</v>
      </c>
      <c r="B1214" s="5" t="s">
        <v>5654</v>
      </c>
      <c r="C1214" t="s">
        <v>5655</v>
      </c>
      <c r="D1214" t="s">
        <v>327</v>
      </c>
      <c r="E1214" t="s">
        <v>327</v>
      </c>
      <c r="F1214" t="s">
        <v>327</v>
      </c>
      <c r="G1214" t="s">
        <v>327</v>
      </c>
      <c r="H1214" t="s">
        <v>327</v>
      </c>
      <c r="I1214" t="s">
        <v>2555</v>
      </c>
    </row>
    <row r="1215" spans="1:9">
      <c r="A1215" s="5" t="s">
        <v>327</v>
      </c>
      <c r="B1215" s="5" t="s">
        <v>5656</v>
      </c>
      <c r="C1215" t="s">
        <v>5657</v>
      </c>
      <c r="D1215" t="s">
        <v>327</v>
      </c>
      <c r="E1215" t="s">
        <v>327</v>
      </c>
      <c r="F1215" t="s">
        <v>327</v>
      </c>
      <c r="G1215" t="s">
        <v>327</v>
      </c>
      <c r="H1215" t="s">
        <v>327</v>
      </c>
      <c r="I1215" t="s">
        <v>5658</v>
      </c>
    </row>
    <row r="1216" spans="1:9">
      <c r="A1216" s="5" t="s">
        <v>327</v>
      </c>
      <c r="B1216" s="5" t="s">
        <v>5659</v>
      </c>
      <c r="C1216" t="s">
        <v>5660</v>
      </c>
      <c r="D1216" t="s">
        <v>327</v>
      </c>
      <c r="E1216" t="s">
        <v>327</v>
      </c>
      <c r="F1216" t="s">
        <v>327</v>
      </c>
      <c r="G1216" t="s">
        <v>327</v>
      </c>
      <c r="H1216" t="s">
        <v>327</v>
      </c>
      <c r="I1216" t="s">
        <v>3325</v>
      </c>
    </row>
    <row r="1217" spans="1:9">
      <c r="A1217" s="5" t="s">
        <v>327</v>
      </c>
      <c r="B1217" s="5" t="s">
        <v>5661</v>
      </c>
      <c r="C1217" t="s">
        <v>5662</v>
      </c>
      <c r="D1217" t="s">
        <v>327</v>
      </c>
      <c r="E1217" t="s">
        <v>327</v>
      </c>
      <c r="F1217" t="s">
        <v>327</v>
      </c>
      <c r="G1217" t="s">
        <v>327</v>
      </c>
      <c r="H1217" t="s">
        <v>327</v>
      </c>
      <c r="I1217" t="s">
        <v>3316</v>
      </c>
    </row>
    <row r="1218" spans="1:9">
      <c r="A1218" s="5" t="s">
        <v>327</v>
      </c>
      <c r="B1218" s="5" t="s">
        <v>5663</v>
      </c>
      <c r="C1218" t="s">
        <v>5664</v>
      </c>
      <c r="D1218" t="s">
        <v>327</v>
      </c>
      <c r="E1218" t="s">
        <v>327</v>
      </c>
      <c r="F1218" t="s">
        <v>327</v>
      </c>
      <c r="G1218" t="s">
        <v>327</v>
      </c>
      <c r="H1218" t="s">
        <v>327</v>
      </c>
      <c r="I1218" t="s">
        <v>3130</v>
      </c>
    </row>
    <row r="1219" spans="1:9">
      <c r="A1219" s="5" t="s">
        <v>327</v>
      </c>
      <c r="B1219" s="5" t="s">
        <v>5665</v>
      </c>
      <c r="C1219" t="s">
        <v>5666</v>
      </c>
      <c r="D1219" t="s">
        <v>327</v>
      </c>
      <c r="E1219" t="s">
        <v>327</v>
      </c>
      <c r="F1219" t="s">
        <v>327</v>
      </c>
      <c r="G1219" t="s">
        <v>327</v>
      </c>
      <c r="H1219" t="s">
        <v>327</v>
      </c>
      <c r="I1219" t="s">
        <v>5667</v>
      </c>
    </row>
    <row r="1220" spans="1:9">
      <c r="A1220" s="5" t="s">
        <v>327</v>
      </c>
      <c r="B1220" s="5" t="s">
        <v>5668</v>
      </c>
      <c r="C1220" t="s">
        <v>5669</v>
      </c>
      <c r="D1220" t="s">
        <v>327</v>
      </c>
      <c r="E1220" t="s">
        <v>327</v>
      </c>
      <c r="F1220" t="s">
        <v>327</v>
      </c>
      <c r="G1220" t="s">
        <v>327</v>
      </c>
      <c r="H1220" t="s">
        <v>327</v>
      </c>
      <c r="I1220" t="s">
        <v>5670</v>
      </c>
    </row>
    <row r="1221" spans="1:9">
      <c r="A1221" s="5" t="s">
        <v>327</v>
      </c>
      <c r="B1221" s="5" t="s">
        <v>5671</v>
      </c>
      <c r="C1221" t="s">
        <v>5672</v>
      </c>
      <c r="D1221" t="s">
        <v>327</v>
      </c>
      <c r="E1221" t="s">
        <v>327</v>
      </c>
      <c r="F1221" t="s">
        <v>327</v>
      </c>
      <c r="G1221" t="s">
        <v>327</v>
      </c>
      <c r="H1221" t="s">
        <v>327</v>
      </c>
      <c r="I1221" t="s">
        <v>1608</v>
      </c>
    </row>
    <row r="1222" spans="1:9">
      <c r="A1222" s="5" t="s">
        <v>327</v>
      </c>
      <c r="B1222" s="5" t="s">
        <v>5673</v>
      </c>
      <c r="C1222" t="s">
        <v>5674</v>
      </c>
      <c r="D1222" t="s">
        <v>327</v>
      </c>
      <c r="E1222" t="s">
        <v>327</v>
      </c>
      <c r="F1222" t="s">
        <v>327</v>
      </c>
      <c r="G1222" t="s">
        <v>327</v>
      </c>
      <c r="H1222" t="s">
        <v>327</v>
      </c>
      <c r="I1222" t="s">
        <v>5675</v>
      </c>
    </row>
    <row r="1223" spans="1:9">
      <c r="A1223" s="5" t="s">
        <v>327</v>
      </c>
      <c r="B1223" s="5" t="s">
        <v>5676</v>
      </c>
      <c r="C1223" t="s">
        <v>5677</v>
      </c>
      <c r="D1223" t="s">
        <v>327</v>
      </c>
      <c r="E1223" t="s">
        <v>327</v>
      </c>
      <c r="F1223" t="s">
        <v>327</v>
      </c>
      <c r="G1223" t="s">
        <v>327</v>
      </c>
      <c r="H1223" t="s">
        <v>327</v>
      </c>
      <c r="I1223" t="s">
        <v>3316</v>
      </c>
    </row>
    <row r="1224" spans="1:9">
      <c r="A1224" s="5" t="s">
        <v>327</v>
      </c>
      <c r="B1224" s="5" t="s">
        <v>5678</v>
      </c>
      <c r="C1224" t="s">
        <v>5679</v>
      </c>
      <c r="D1224" t="s">
        <v>327</v>
      </c>
      <c r="E1224" t="s">
        <v>327</v>
      </c>
      <c r="F1224" t="s">
        <v>327</v>
      </c>
      <c r="G1224" t="s">
        <v>327</v>
      </c>
      <c r="H1224" t="s">
        <v>327</v>
      </c>
      <c r="I1224" t="s">
        <v>3316</v>
      </c>
    </row>
    <row r="1225" spans="1:9">
      <c r="A1225" s="5" t="s">
        <v>327</v>
      </c>
      <c r="B1225" s="5" t="s">
        <v>5680</v>
      </c>
      <c r="C1225" t="s">
        <v>5681</v>
      </c>
      <c r="D1225" t="s">
        <v>327</v>
      </c>
      <c r="E1225" t="s">
        <v>327</v>
      </c>
      <c r="F1225" t="s">
        <v>327</v>
      </c>
      <c r="G1225" t="s">
        <v>327</v>
      </c>
      <c r="H1225" t="s">
        <v>327</v>
      </c>
      <c r="I1225" t="s">
        <v>5682</v>
      </c>
    </row>
    <row r="1226" spans="1:9">
      <c r="A1226" s="5" t="s">
        <v>327</v>
      </c>
      <c r="B1226" s="5" t="s">
        <v>5683</v>
      </c>
      <c r="C1226" t="s">
        <v>5684</v>
      </c>
      <c r="D1226" t="s">
        <v>327</v>
      </c>
      <c r="E1226" t="s">
        <v>327</v>
      </c>
      <c r="F1226" t="s">
        <v>327</v>
      </c>
      <c r="G1226" t="s">
        <v>327</v>
      </c>
      <c r="H1226" t="s">
        <v>327</v>
      </c>
      <c r="I1226" t="s">
        <v>1921</v>
      </c>
    </row>
    <row r="1227" spans="1:9">
      <c r="A1227" s="5" t="s">
        <v>327</v>
      </c>
      <c r="B1227" s="5" t="s">
        <v>5685</v>
      </c>
      <c r="C1227" t="s">
        <v>5686</v>
      </c>
      <c r="D1227" t="s">
        <v>327</v>
      </c>
      <c r="E1227" t="s">
        <v>327</v>
      </c>
      <c r="F1227" t="s">
        <v>327</v>
      </c>
      <c r="G1227" t="s">
        <v>327</v>
      </c>
      <c r="H1227" t="s">
        <v>327</v>
      </c>
      <c r="I1227" t="s">
        <v>5675</v>
      </c>
    </row>
    <row r="1228" spans="1:9">
      <c r="A1228" s="5" t="s">
        <v>327</v>
      </c>
      <c r="B1228" s="5" t="s">
        <v>5687</v>
      </c>
      <c r="C1228" t="s">
        <v>5688</v>
      </c>
      <c r="D1228" t="s">
        <v>327</v>
      </c>
      <c r="E1228" t="s">
        <v>327</v>
      </c>
      <c r="F1228" t="s">
        <v>327</v>
      </c>
      <c r="G1228" t="s">
        <v>327</v>
      </c>
      <c r="H1228" t="s">
        <v>327</v>
      </c>
      <c r="I1228" t="s">
        <v>5689</v>
      </c>
    </row>
    <row r="1229" spans="1:9">
      <c r="A1229" s="5" t="s">
        <v>327</v>
      </c>
      <c r="B1229" s="5" t="s">
        <v>5690</v>
      </c>
      <c r="C1229" t="s">
        <v>5691</v>
      </c>
      <c r="D1229" t="s">
        <v>327</v>
      </c>
      <c r="E1229" t="s">
        <v>327</v>
      </c>
      <c r="F1229" t="s">
        <v>327</v>
      </c>
      <c r="G1229" t="s">
        <v>327</v>
      </c>
      <c r="H1229" t="s">
        <v>327</v>
      </c>
      <c r="I1229" t="s">
        <v>5692</v>
      </c>
    </row>
    <row r="1230" spans="1:9">
      <c r="A1230" s="5" t="s">
        <v>327</v>
      </c>
      <c r="B1230" s="5" t="s">
        <v>5693</v>
      </c>
      <c r="C1230" t="s">
        <v>5694</v>
      </c>
      <c r="D1230" t="s">
        <v>327</v>
      </c>
      <c r="E1230" t="s">
        <v>327</v>
      </c>
      <c r="F1230" t="s">
        <v>327</v>
      </c>
      <c r="G1230" t="s">
        <v>327</v>
      </c>
      <c r="H1230" t="s">
        <v>327</v>
      </c>
      <c r="I1230" t="s">
        <v>2878</v>
      </c>
    </row>
    <row r="1231" spans="1:9">
      <c r="A1231" s="5" t="s">
        <v>327</v>
      </c>
      <c r="B1231" s="5" t="s">
        <v>5695</v>
      </c>
      <c r="C1231" t="s">
        <v>5696</v>
      </c>
      <c r="D1231" t="s">
        <v>327</v>
      </c>
      <c r="E1231" t="s">
        <v>327</v>
      </c>
      <c r="F1231" t="s">
        <v>327</v>
      </c>
      <c r="G1231" t="s">
        <v>327</v>
      </c>
      <c r="H1231" t="s">
        <v>327</v>
      </c>
      <c r="I1231" t="s">
        <v>5689</v>
      </c>
    </row>
    <row r="1232" spans="1:9">
      <c r="A1232" s="5" t="s">
        <v>327</v>
      </c>
      <c r="B1232" s="5" t="s">
        <v>5697</v>
      </c>
      <c r="C1232" t="s">
        <v>5698</v>
      </c>
      <c r="D1232" t="s">
        <v>327</v>
      </c>
      <c r="E1232" t="s">
        <v>327</v>
      </c>
      <c r="F1232" t="s">
        <v>327</v>
      </c>
      <c r="G1232" t="s">
        <v>327</v>
      </c>
      <c r="H1232" t="s">
        <v>327</v>
      </c>
      <c r="I1232" t="s">
        <v>3843</v>
      </c>
    </row>
    <row r="1233" spans="1:9">
      <c r="A1233" s="5" t="s">
        <v>327</v>
      </c>
      <c r="B1233" s="5" t="s">
        <v>5699</v>
      </c>
      <c r="C1233" t="s">
        <v>5700</v>
      </c>
      <c r="D1233" t="s">
        <v>327</v>
      </c>
      <c r="E1233" t="s">
        <v>327</v>
      </c>
      <c r="F1233" t="s">
        <v>327</v>
      </c>
      <c r="G1233" t="s">
        <v>327</v>
      </c>
      <c r="H1233" t="s">
        <v>327</v>
      </c>
      <c r="I1233" t="s">
        <v>5701</v>
      </c>
    </row>
    <row r="1234" spans="1:9">
      <c r="A1234" s="5" t="s">
        <v>327</v>
      </c>
      <c r="B1234" s="5" t="s">
        <v>5702</v>
      </c>
      <c r="C1234" t="s">
        <v>5703</v>
      </c>
      <c r="D1234" t="s">
        <v>327</v>
      </c>
      <c r="E1234" t="s">
        <v>327</v>
      </c>
      <c r="F1234" t="s">
        <v>327</v>
      </c>
      <c r="G1234" t="s">
        <v>327</v>
      </c>
      <c r="H1234" t="s">
        <v>327</v>
      </c>
      <c r="I1234" t="s">
        <v>5704</v>
      </c>
    </row>
    <row r="1235" spans="1:9">
      <c r="A1235" s="5" t="s">
        <v>327</v>
      </c>
      <c r="B1235" s="5" t="s">
        <v>5705</v>
      </c>
      <c r="C1235" t="s">
        <v>5706</v>
      </c>
      <c r="D1235" t="s">
        <v>327</v>
      </c>
      <c r="E1235" t="s">
        <v>327</v>
      </c>
      <c r="F1235" t="s">
        <v>327</v>
      </c>
      <c r="G1235" t="s">
        <v>327</v>
      </c>
      <c r="H1235" t="s">
        <v>327</v>
      </c>
      <c r="I1235" t="s">
        <v>1930</v>
      </c>
    </row>
    <row r="1236" spans="1:9">
      <c r="A1236" s="5" t="s">
        <v>327</v>
      </c>
      <c r="B1236" s="5" t="s">
        <v>5707</v>
      </c>
      <c r="C1236" t="s">
        <v>5708</v>
      </c>
      <c r="D1236" t="s">
        <v>327</v>
      </c>
      <c r="E1236" t="s">
        <v>327</v>
      </c>
      <c r="F1236" t="s">
        <v>327</v>
      </c>
      <c r="G1236" t="s">
        <v>327</v>
      </c>
      <c r="H1236" t="s">
        <v>327</v>
      </c>
      <c r="I1236" t="s">
        <v>5709</v>
      </c>
    </row>
    <row r="1237" spans="1:9">
      <c r="A1237" s="5" t="s">
        <v>327</v>
      </c>
      <c r="B1237" s="5" t="s">
        <v>5710</v>
      </c>
      <c r="C1237" t="s">
        <v>5711</v>
      </c>
      <c r="D1237" t="s">
        <v>327</v>
      </c>
      <c r="E1237" t="s">
        <v>327</v>
      </c>
      <c r="F1237" t="s">
        <v>327</v>
      </c>
      <c r="G1237" t="s">
        <v>327</v>
      </c>
      <c r="H1237" t="s">
        <v>327</v>
      </c>
      <c r="I1237" t="s">
        <v>461</v>
      </c>
    </row>
    <row r="1238" spans="1:9">
      <c r="A1238" s="5" t="s">
        <v>327</v>
      </c>
      <c r="B1238" s="5" t="s">
        <v>5712</v>
      </c>
      <c r="C1238" t="s">
        <v>5713</v>
      </c>
      <c r="D1238" t="s">
        <v>327</v>
      </c>
      <c r="E1238" t="s">
        <v>327</v>
      </c>
      <c r="F1238" t="s">
        <v>327</v>
      </c>
      <c r="G1238" t="s">
        <v>327</v>
      </c>
      <c r="H1238" t="s">
        <v>327</v>
      </c>
      <c r="I1238" t="s">
        <v>2482</v>
      </c>
    </row>
    <row r="1239" spans="1:9">
      <c r="A1239" s="5" t="s">
        <v>327</v>
      </c>
      <c r="B1239" s="5" t="s">
        <v>5714</v>
      </c>
      <c r="C1239" t="s">
        <v>5715</v>
      </c>
      <c r="D1239" t="s">
        <v>327</v>
      </c>
      <c r="E1239" t="s">
        <v>327</v>
      </c>
      <c r="F1239" t="s">
        <v>327</v>
      </c>
      <c r="G1239" t="s">
        <v>327</v>
      </c>
      <c r="H1239" t="s">
        <v>327</v>
      </c>
      <c r="I1239" t="s">
        <v>1663</v>
      </c>
    </row>
    <row r="1240" spans="1:9">
      <c r="A1240" s="5" t="s">
        <v>327</v>
      </c>
      <c r="B1240" s="5" t="s">
        <v>5716</v>
      </c>
      <c r="C1240" t="s">
        <v>5717</v>
      </c>
      <c r="D1240" t="s">
        <v>327</v>
      </c>
      <c r="E1240" t="s">
        <v>327</v>
      </c>
      <c r="F1240" t="s">
        <v>327</v>
      </c>
      <c r="G1240" t="s">
        <v>327</v>
      </c>
      <c r="H1240" t="s">
        <v>327</v>
      </c>
      <c r="I1240" t="s">
        <v>5718</v>
      </c>
    </row>
    <row r="1241" spans="1:9">
      <c r="A1241" s="5" t="s">
        <v>327</v>
      </c>
      <c r="B1241" s="5" t="s">
        <v>5719</v>
      </c>
      <c r="C1241" t="s">
        <v>5720</v>
      </c>
      <c r="D1241" t="s">
        <v>327</v>
      </c>
      <c r="E1241" t="s">
        <v>327</v>
      </c>
      <c r="F1241" t="s">
        <v>327</v>
      </c>
      <c r="G1241" t="s">
        <v>327</v>
      </c>
      <c r="H1241" t="s">
        <v>327</v>
      </c>
      <c r="I1241" t="s">
        <v>5721</v>
      </c>
    </row>
    <row r="1242" spans="1:9">
      <c r="A1242" s="5" t="s">
        <v>327</v>
      </c>
      <c r="B1242" s="5" t="s">
        <v>5722</v>
      </c>
      <c r="C1242" t="s">
        <v>5723</v>
      </c>
      <c r="D1242" t="s">
        <v>327</v>
      </c>
      <c r="E1242" t="s">
        <v>327</v>
      </c>
      <c r="F1242" t="s">
        <v>327</v>
      </c>
      <c r="G1242" t="s">
        <v>327</v>
      </c>
      <c r="H1242" t="s">
        <v>327</v>
      </c>
      <c r="I1242" t="s">
        <v>5724</v>
      </c>
    </row>
    <row r="1243" spans="1:9">
      <c r="A1243" s="5" t="s">
        <v>327</v>
      </c>
      <c r="B1243" s="5" t="s">
        <v>1530</v>
      </c>
      <c r="C1243" t="s">
        <v>5725</v>
      </c>
      <c r="D1243" t="s">
        <v>327</v>
      </c>
      <c r="E1243" t="s">
        <v>327</v>
      </c>
      <c r="F1243" t="s">
        <v>327</v>
      </c>
      <c r="G1243" t="s">
        <v>327</v>
      </c>
      <c r="H1243" t="s">
        <v>327</v>
      </c>
      <c r="I1243" t="s">
        <v>714</v>
      </c>
    </row>
    <row r="1244" spans="1:9">
      <c r="A1244" s="5" t="s">
        <v>327</v>
      </c>
      <c r="B1244" s="5" t="s">
        <v>5726</v>
      </c>
      <c r="C1244" t="s">
        <v>5727</v>
      </c>
      <c r="D1244" t="s">
        <v>327</v>
      </c>
      <c r="E1244" t="s">
        <v>327</v>
      </c>
      <c r="F1244" t="s">
        <v>327</v>
      </c>
      <c r="G1244" t="s">
        <v>327</v>
      </c>
      <c r="H1244" t="s">
        <v>327</v>
      </c>
      <c r="I1244" t="s">
        <v>5728</v>
      </c>
    </row>
    <row r="1245" spans="1:9">
      <c r="A1245" s="5" t="s">
        <v>327</v>
      </c>
      <c r="B1245" s="5" t="s">
        <v>5729</v>
      </c>
      <c r="C1245" t="s">
        <v>5730</v>
      </c>
      <c r="D1245" t="s">
        <v>327</v>
      </c>
      <c r="E1245" t="s">
        <v>327</v>
      </c>
      <c r="F1245" t="s">
        <v>327</v>
      </c>
      <c r="G1245" t="s">
        <v>327</v>
      </c>
      <c r="H1245" t="s">
        <v>327</v>
      </c>
      <c r="I1245" t="s">
        <v>5709</v>
      </c>
    </row>
    <row r="1246" spans="1:9">
      <c r="A1246" s="5" t="s">
        <v>327</v>
      </c>
      <c r="B1246" s="5" t="s">
        <v>5731</v>
      </c>
      <c r="C1246" t="s">
        <v>5732</v>
      </c>
      <c r="D1246" t="s">
        <v>327</v>
      </c>
      <c r="E1246" t="s">
        <v>327</v>
      </c>
      <c r="F1246" t="s">
        <v>327</v>
      </c>
      <c r="G1246" t="s">
        <v>327</v>
      </c>
      <c r="H1246" t="s">
        <v>327</v>
      </c>
      <c r="I1246" t="s">
        <v>1564</v>
      </c>
    </row>
    <row r="1247" spans="1:9">
      <c r="A1247" s="5" t="s">
        <v>327</v>
      </c>
      <c r="B1247" s="5" t="s">
        <v>5733</v>
      </c>
      <c r="C1247" t="s">
        <v>5734</v>
      </c>
      <c r="D1247" t="s">
        <v>327</v>
      </c>
      <c r="E1247" t="s">
        <v>327</v>
      </c>
      <c r="F1247" t="s">
        <v>327</v>
      </c>
      <c r="G1247" t="s">
        <v>327</v>
      </c>
      <c r="H1247" t="s">
        <v>327</v>
      </c>
      <c r="I1247" t="s">
        <v>5735</v>
      </c>
    </row>
    <row r="1248" spans="1:9">
      <c r="A1248" s="5" t="s">
        <v>327</v>
      </c>
      <c r="B1248" s="5" t="s">
        <v>5736</v>
      </c>
      <c r="C1248" t="s">
        <v>5737</v>
      </c>
      <c r="D1248" t="s">
        <v>327</v>
      </c>
      <c r="E1248" t="s">
        <v>327</v>
      </c>
      <c r="F1248" t="s">
        <v>327</v>
      </c>
      <c r="G1248" t="s">
        <v>327</v>
      </c>
      <c r="H1248" t="s">
        <v>327</v>
      </c>
      <c r="I1248" t="s">
        <v>1585</v>
      </c>
    </row>
    <row r="1249" spans="1:9">
      <c r="A1249" s="5" t="s">
        <v>327</v>
      </c>
      <c r="B1249" s="5" t="s">
        <v>5738</v>
      </c>
      <c r="C1249" t="s">
        <v>5739</v>
      </c>
      <c r="D1249" t="s">
        <v>327</v>
      </c>
      <c r="E1249" t="s">
        <v>327</v>
      </c>
      <c r="F1249" t="s">
        <v>327</v>
      </c>
      <c r="G1249" t="s">
        <v>327</v>
      </c>
      <c r="H1249" t="s">
        <v>327</v>
      </c>
      <c r="I1249" t="s">
        <v>5721</v>
      </c>
    </row>
    <row r="1250" spans="1:9">
      <c r="A1250" s="5" t="s">
        <v>327</v>
      </c>
      <c r="B1250" s="5" t="s">
        <v>5740</v>
      </c>
      <c r="C1250" t="s">
        <v>5741</v>
      </c>
      <c r="D1250" t="s">
        <v>327</v>
      </c>
      <c r="E1250" t="s">
        <v>327</v>
      </c>
      <c r="F1250" t="s">
        <v>327</v>
      </c>
      <c r="G1250" t="s">
        <v>327</v>
      </c>
      <c r="H1250" t="s">
        <v>327</v>
      </c>
      <c r="I1250" t="s">
        <v>3847</v>
      </c>
    </row>
    <row r="1251" spans="1:9">
      <c r="A1251" s="5" t="s">
        <v>327</v>
      </c>
      <c r="B1251" s="5" t="s">
        <v>5742</v>
      </c>
      <c r="C1251" t="s">
        <v>5743</v>
      </c>
      <c r="D1251" t="s">
        <v>327</v>
      </c>
      <c r="E1251" t="s">
        <v>327</v>
      </c>
      <c r="F1251" t="s">
        <v>327</v>
      </c>
      <c r="G1251" t="s">
        <v>327</v>
      </c>
      <c r="H1251" t="s">
        <v>327</v>
      </c>
      <c r="I1251" t="s">
        <v>1564</v>
      </c>
    </row>
    <row r="1252" spans="1:9">
      <c r="A1252" s="5" t="s">
        <v>327</v>
      </c>
      <c r="B1252" s="5" t="s">
        <v>5744</v>
      </c>
      <c r="C1252" t="s">
        <v>5745</v>
      </c>
      <c r="D1252" t="s">
        <v>327</v>
      </c>
      <c r="E1252" t="s">
        <v>327</v>
      </c>
      <c r="F1252" t="s">
        <v>327</v>
      </c>
      <c r="G1252" t="s">
        <v>327</v>
      </c>
      <c r="H1252" t="s">
        <v>327</v>
      </c>
      <c r="I1252" t="s">
        <v>5746</v>
      </c>
    </row>
    <row r="1253" spans="1:9">
      <c r="A1253" s="5" t="s">
        <v>327</v>
      </c>
      <c r="B1253" s="5" t="s">
        <v>5747</v>
      </c>
      <c r="C1253" t="s">
        <v>5748</v>
      </c>
      <c r="D1253" t="s">
        <v>327</v>
      </c>
      <c r="E1253" t="s">
        <v>327</v>
      </c>
      <c r="F1253" t="s">
        <v>327</v>
      </c>
      <c r="G1253" t="s">
        <v>327</v>
      </c>
      <c r="H1253" t="s">
        <v>327</v>
      </c>
      <c r="I1253" t="s">
        <v>599</v>
      </c>
    </row>
    <row r="1254" spans="1:9">
      <c r="A1254" s="5" t="s">
        <v>327</v>
      </c>
      <c r="B1254" s="5" t="s">
        <v>5749</v>
      </c>
      <c r="C1254" t="s">
        <v>5750</v>
      </c>
      <c r="D1254" t="s">
        <v>327</v>
      </c>
      <c r="E1254" t="s">
        <v>327</v>
      </c>
      <c r="F1254" t="s">
        <v>327</v>
      </c>
      <c r="G1254" t="s">
        <v>327</v>
      </c>
      <c r="H1254" t="s">
        <v>327</v>
      </c>
      <c r="I1254" t="s">
        <v>395</v>
      </c>
    </row>
    <row r="1255" spans="1:9">
      <c r="A1255" s="5" t="s">
        <v>327</v>
      </c>
      <c r="B1255" s="5" t="s">
        <v>5751</v>
      </c>
      <c r="C1255" t="s">
        <v>5752</v>
      </c>
      <c r="D1255" t="s">
        <v>327</v>
      </c>
      <c r="E1255" t="s">
        <v>327</v>
      </c>
      <c r="F1255" t="s">
        <v>327</v>
      </c>
      <c r="G1255" t="s">
        <v>327</v>
      </c>
      <c r="H1255" t="s">
        <v>327</v>
      </c>
      <c r="I1255" t="s">
        <v>1564</v>
      </c>
    </row>
    <row r="1256" spans="1:9">
      <c r="A1256" s="5" t="s">
        <v>327</v>
      </c>
      <c r="B1256" s="5" t="s">
        <v>5753</v>
      </c>
      <c r="C1256" t="s">
        <v>5754</v>
      </c>
      <c r="D1256" t="s">
        <v>327</v>
      </c>
      <c r="E1256" t="s">
        <v>327</v>
      </c>
      <c r="F1256" t="s">
        <v>327</v>
      </c>
      <c r="G1256" t="s">
        <v>327</v>
      </c>
      <c r="H1256" t="s">
        <v>327</v>
      </c>
      <c r="I1256" t="s">
        <v>5755</v>
      </c>
    </row>
    <row r="1257" spans="1:9">
      <c r="A1257" s="5" t="s">
        <v>327</v>
      </c>
      <c r="B1257" s="5" t="s">
        <v>5756</v>
      </c>
      <c r="C1257" t="s">
        <v>5757</v>
      </c>
      <c r="D1257" t="s">
        <v>327</v>
      </c>
      <c r="E1257" t="s">
        <v>327</v>
      </c>
      <c r="F1257" t="s">
        <v>327</v>
      </c>
      <c r="G1257" t="s">
        <v>327</v>
      </c>
      <c r="H1257" t="s">
        <v>327</v>
      </c>
      <c r="I1257" t="s">
        <v>1524</v>
      </c>
    </row>
    <row r="1258" spans="1:9">
      <c r="A1258" s="5" t="s">
        <v>327</v>
      </c>
      <c r="B1258" s="5" t="s">
        <v>5758</v>
      </c>
      <c r="C1258" t="s">
        <v>5759</v>
      </c>
      <c r="D1258" t="s">
        <v>327</v>
      </c>
      <c r="E1258" t="s">
        <v>327</v>
      </c>
      <c r="F1258" t="s">
        <v>327</v>
      </c>
      <c r="G1258" t="s">
        <v>327</v>
      </c>
      <c r="H1258" t="s">
        <v>327</v>
      </c>
      <c r="I1258" t="s">
        <v>5760</v>
      </c>
    </row>
    <row r="1259" spans="1:9">
      <c r="A1259" s="5" t="s">
        <v>327</v>
      </c>
      <c r="B1259" s="5" t="s">
        <v>5761</v>
      </c>
      <c r="C1259" t="s">
        <v>5762</v>
      </c>
      <c r="D1259" t="s">
        <v>327</v>
      </c>
      <c r="E1259" t="s">
        <v>327</v>
      </c>
      <c r="F1259" t="s">
        <v>327</v>
      </c>
      <c r="G1259" t="s">
        <v>327</v>
      </c>
      <c r="H1259" t="s">
        <v>327</v>
      </c>
      <c r="I1259" t="s">
        <v>521</v>
      </c>
    </row>
    <row r="1260" spans="1:9">
      <c r="A1260" s="5" t="s">
        <v>327</v>
      </c>
      <c r="B1260" s="5" t="s">
        <v>5763</v>
      </c>
      <c r="C1260" t="s">
        <v>5764</v>
      </c>
      <c r="D1260" t="s">
        <v>327</v>
      </c>
      <c r="E1260" t="s">
        <v>327</v>
      </c>
      <c r="F1260" t="s">
        <v>327</v>
      </c>
      <c r="G1260" t="s">
        <v>327</v>
      </c>
      <c r="H1260" t="s">
        <v>327</v>
      </c>
      <c r="I1260" t="s">
        <v>5765</v>
      </c>
    </row>
    <row r="1261" spans="1:9">
      <c r="A1261" s="5" t="s">
        <v>327</v>
      </c>
      <c r="B1261" s="5" t="s">
        <v>5766</v>
      </c>
      <c r="C1261" t="s">
        <v>5767</v>
      </c>
      <c r="D1261" t="s">
        <v>327</v>
      </c>
      <c r="E1261" t="s">
        <v>327</v>
      </c>
      <c r="F1261" t="s">
        <v>327</v>
      </c>
      <c r="G1261" t="s">
        <v>327</v>
      </c>
      <c r="H1261" t="s">
        <v>327</v>
      </c>
      <c r="I1261" t="s">
        <v>5768</v>
      </c>
    </row>
    <row r="1262" spans="1:9">
      <c r="A1262" s="5" t="s">
        <v>327</v>
      </c>
      <c r="B1262" s="5" t="s">
        <v>5769</v>
      </c>
      <c r="C1262" t="s">
        <v>5770</v>
      </c>
      <c r="D1262" t="s">
        <v>327</v>
      </c>
      <c r="E1262" t="s">
        <v>327</v>
      </c>
      <c r="F1262" t="s">
        <v>327</v>
      </c>
      <c r="G1262" t="s">
        <v>327</v>
      </c>
      <c r="H1262" t="s">
        <v>327</v>
      </c>
      <c r="I1262" t="s">
        <v>1871</v>
      </c>
    </row>
    <row r="1263" spans="1:9">
      <c r="A1263" s="5" t="s">
        <v>327</v>
      </c>
      <c r="B1263" s="5" t="s">
        <v>2680</v>
      </c>
      <c r="C1263" t="s">
        <v>5771</v>
      </c>
      <c r="D1263" t="s">
        <v>327</v>
      </c>
      <c r="E1263" t="s">
        <v>327</v>
      </c>
      <c r="F1263" t="s">
        <v>327</v>
      </c>
      <c r="G1263" t="s">
        <v>327</v>
      </c>
      <c r="H1263" t="s">
        <v>327</v>
      </c>
      <c r="I1263" t="s">
        <v>5728</v>
      </c>
    </row>
    <row r="1264" spans="1:9">
      <c r="A1264" s="5" t="s">
        <v>327</v>
      </c>
      <c r="B1264" s="5" t="s">
        <v>5772</v>
      </c>
      <c r="C1264" t="s">
        <v>5773</v>
      </c>
      <c r="D1264" t="s">
        <v>327</v>
      </c>
      <c r="E1264" t="s">
        <v>327</v>
      </c>
      <c r="F1264" t="s">
        <v>327</v>
      </c>
      <c r="G1264" t="s">
        <v>327</v>
      </c>
      <c r="H1264" t="s">
        <v>327</v>
      </c>
      <c r="I1264" t="s">
        <v>2116</v>
      </c>
    </row>
    <row r="1265" spans="1:9">
      <c r="A1265" s="5" t="s">
        <v>327</v>
      </c>
      <c r="B1265" s="5" t="s">
        <v>5774</v>
      </c>
      <c r="C1265" t="s">
        <v>5775</v>
      </c>
      <c r="D1265" t="s">
        <v>327</v>
      </c>
      <c r="E1265" t="s">
        <v>327</v>
      </c>
      <c r="F1265" t="s">
        <v>327</v>
      </c>
      <c r="G1265" t="s">
        <v>327</v>
      </c>
      <c r="H1265" t="s">
        <v>327</v>
      </c>
      <c r="I1265" t="s">
        <v>5776</v>
      </c>
    </row>
    <row r="1266" spans="1:9">
      <c r="A1266" s="5" t="s">
        <v>327</v>
      </c>
      <c r="B1266" s="5" t="s">
        <v>5777</v>
      </c>
      <c r="C1266" t="s">
        <v>5778</v>
      </c>
      <c r="D1266" t="s">
        <v>327</v>
      </c>
      <c r="E1266" t="s">
        <v>327</v>
      </c>
      <c r="F1266" t="s">
        <v>327</v>
      </c>
      <c r="G1266" t="s">
        <v>327</v>
      </c>
      <c r="H1266" t="s">
        <v>327</v>
      </c>
      <c r="I1266" t="s">
        <v>2303</v>
      </c>
    </row>
    <row r="1267" spans="1:9">
      <c r="A1267" s="5" t="s">
        <v>327</v>
      </c>
      <c r="B1267" s="5" t="s">
        <v>5779</v>
      </c>
      <c r="C1267" t="s">
        <v>5780</v>
      </c>
      <c r="D1267" t="s">
        <v>327</v>
      </c>
      <c r="E1267" t="s">
        <v>327</v>
      </c>
      <c r="F1267" t="s">
        <v>327</v>
      </c>
      <c r="G1267" t="s">
        <v>327</v>
      </c>
      <c r="H1267" t="s">
        <v>327</v>
      </c>
      <c r="I1267" t="s">
        <v>5781</v>
      </c>
    </row>
    <row r="1268" spans="1:9">
      <c r="A1268" s="5" t="s">
        <v>327</v>
      </c>
      <c r="B1268" s="5" t="s">
        <v>5782</v>
      </c>
      <c r="C1268" t="s">
        <v>5783</v>
      </c>
      <c r="D1268" t="s">
        <v>327</v>
      </c>
      <c r="E1268" t="s">
        <v>327</v>
      </c>
      <c r="F1268" t="s">
        <v>327</v>
      </c>
      <c r="G1268" t="s">
        <v>327</v>
      </c>
      <c r="H1268" t="s">
        <v>327</v>
      </c>
      <c r="I1268" t="s">
        <v>5784</v>
      </c>
    </row>
    <row r="1269" spans="1:9">
      <c r="A1269" s="5" t="s">
        <v>327</v>
      </c>
      <c r="B1269" s="5" t="s">
        <v>5785</v>
      </c>
      <c r="C1269" t="s">
        <v>5786</v>
      </c>
      <c r="D1269" t="s">
        <v>327</v>
      </c>
      <c r="E1269" t="s">
        <v>327</v>
      </c>
      <c r="F1269" t="s">
        <v>327</v>
      </c>
      <c r="G1269" t="s">
        <v>327</v>
      </c>
      <c r="H1269" t="s">
        <v>327</v>
      </c>
      <c r="I1269" t="s">
        <v>1766</v>
      </c>
    </row>
    <row r="1270" spans="1:9">
      <c r="A1270" s="5" t="s">
        <v>327</v>
      </c>
      <c r="B1270" s="5" t="s">
        <v>5787</v>
      </c>
      <c r="C1270" t="s">
        <v>5788</v>
      </c>
      <c r="D1270" t="s">
        <v>327</v>
      </c>
      <c r="E1270" t="s">
        <v>327</v>
      </c>
      <c r="F1270" t="s">
        <v>327</v>
      </c>
      <c r="G1270" t="s">
        <v>327</v>
      </c>
      <c r="H1270" t="s">
        <v>327</v>
      </c>
      <c r="I1270" t="s">
        <v>5789</v>
      </c>
    </row>
    <row r="1271" spans="1:9">
      <c r="A1271" s="5" t="s">
        <v>327</v>
      </c>
      <c r="B1271" s="5" t="s">
        <v>5790</v>
      </c>
      <c r="C1271" t="s">
        <v>5791</v>
      </c>
      <c r="D1271" t="s">
        <v>327</v>
      </c>
      <c r="E1271" t="s">
        <v>327</v>
      </c>
      <c r="F1271" t="s">
        <v>327</v>
      </c>
      <c r="G1271" t="s">
        <v>327</v>
      </c>
      <c r="H1271" t="s">
        <v>327</v>
      </c>
      <c r="I1271" t="s">
        <v>334</v>
      </c>
    </row>
    <row r="1272" spans="1:9">
      <c r="A1272" s="5" t="s">
        <v>327</v>
      </c>
      <c r="B1272" s="5" t="s">
        <v>5792</v>
      </c>
      <c r="C1272" t="s">
        <v>5793</v>
      </c>
      <c r="D1272" t="s">
        <v>327</v>
      </c>
      <c r="E1272" t="s">
        <v>327</v>
      </c>
      <c r="F1272" t="s">
        <v>327</v>
      </c>
      <c r="G1272" t="s">
        <v>327</v>
      </c>
      <c r="H1272" t="s">
        <v>327</v>
      </c>
      <c r="I1272" t="s">
        <v>543</v>
      </c>
    </row>
    <row r="1273" spans="1:9">
      <c r="A1273" s="5" t="s">
        <v>327</v>
      </c>
      <c r="B1273" s="5" t="s">
        <v>5794</v>
      </c>
      <c r="C1273" t="s">
        <v>5795</v>
      </c>
      <c r="D1273" t="s">
        <v>327</v>
      </c>
      <c r="E1273" t="s">
        <v>327</v>
      </c>
      <c r="F1273" t="s">
        <v>327</v>
      </c>
      <c r="G1273" t="s">
        <v>327</v>
      </c>
      <c r="H1273" t="s">
        <v>327</v>
      </c>
      <c r="I1273" t="s">
        <v>5796</v>
      </c>
    </row>
    <row r="1274" spans="1:9">
      <c r="A1274" s="5" t="s">
        <v>327</v>
      </c>
      <c r="B1274" s="5" t="s">
        <v>5797</v>
      </c>
      <c r="C1274" s="6" t="s">
        <v>167</v>
      </c>
      <c r="D1274" t="s">
        <v>327</v>
      </c>
      <c r="E1274" t="s">
        <v>327</v>
      </c>
      <c r="F1274" t="s">
        <v>327</v>
      </c>
      <c r="G1274" t="s">
        <v>327</v>
      </c>
      <c r="H1274" t="s">
        <v>327</v>
      </c>
      <c r="I1274" t="s">
        <v>2239</v>
      </c>
    </row>
    <row r="1275" spans="1:9">
      <c r="A1275" s="5" t="s">
        <v>327</v>
      </c>
      <c r="B1275" s="5" t="s">
        <v>1403</v>
      </c>
      <c r="C1275" t="s">
        <v>5798</v>
      </c>
      <c r="D1275" t="s">
        <v>327</v>
      </c>
      <c r="E1275" t="s">
        <v>327</v>
      </c>
      <c r="F1275" t="s">
        <v>327</v>
      </c>
      <c r="G1275" t="s">
        <v>327</v>
      </c>
      <c r="H1275" t="s">
        <v>327</v>
      </c>
      <c r="I1275" t="s">
        <v>1413</v>
      </c>
    </row>
    <row r="1276" spans="1:9">
      <c r="A1276" s="5" t="s">
        <v>327</v>
      </c>
      <c r="B1276" s="5" t="s">
        <v>5799</v>
      </c>
      <c r="C1276" t="s">
        <v>5800</v>
      </c>
      <c r="D1276" t="s">
        <v>327</v>
      </c>
      <c r="E1276" t="s">
        <v>327</v>
      </c>
      <c r="F1276" t="s">
        <v>327</v>
      </c>
      <c r="G1276" t="s">
        <v>327</v>
      </c>
      <c r="H1276" t="s">
        <v>327</v>
      </c>
      <c r="I1276" t="s">
        <v>2303</v>
      </c>
    </row>
    <row r="1277" spans="1:9">
      <c r="A1277" s="5" t="s">
        <v>327</v>
      </c>
      <c r="B1277" s="5" t="s">
        <v>5801</v>
      </c>
      <c r="C1277" t="s">
        <v>5802</v>
      </c>
      <c r="D1277" t="s">
        <v>327</v>
      </c>
      <c r="E1277" t="s">
        <v>327</v>
      </c>
      <c r="F1277" t="s">
        <v>327</v>
      </c>
      <c r="G1277" t="s">
        <v>327</v>
      </c>
      <c r="H1277" t="s">
        <v>327</v>
      </c>
      <c r="I1277" t="s">
        <v>3572</v>
      </c>
    </row>
    <row r="1278" spans="1:9">
      <c r="A1278" s="5" t="s">
        <v>327</v>
      </c>
      <c r="B1278" s="5" t="s">
        <v>5803</v>
      </c>
      <c r="C1278" t="s">
        <v>5804</v>
      </c>
      <c r="D1278" t="s">
        <v>327</v>
      </c>
      <c r="E1278" t="s">
        <v>327</v>
      </c>
      <c r="F1278" t="s">
        <v>327</v>
      </c>
      <c r="G1278" t="s">
        <v>327</v>
      </c>
      <c r="H1278" t="s">
        <v>327</v>
      </c>
      <c r="I1278" t="s">
        <v>5805</v>
      </c>
    </row>
    <row r="1279" spans="1:9">
      <c r="A1279" s="5" t="s">
        <v>327</v>
      </c>
      <c r="B1279" s="5" t="s">
        <v>5806</v>
      </c>
      <c r="C1279" t="s">
        <v>5807</v>
      </c>
      <c r="D1279" t="s">
        <v>327</v>
      </c>
      <c r="E1279" t="s">
        <v>327</v>
      </c>
      <c r="F1279" t="s">
        <v>327</v>
      </c>
      <c r="G1279" t="s">
        <v>327</v>
      </c>
      <c r="H1279" t="s">
        <v>327</v>
      </c>
      <c r="I1279" t="s">
        <v>5808</v>
      </c>
    </row>
    <row r="1280" spans="1:9">
      <c r="A1280" s="5" t="s">
        <v>327</v>
      </c>
      <c r="B1280" s="5" t="s">
        <v>5809</v>
      </c>
      <c r="C1280" t="s">
        <v>5810</v>
      </c>
      <c r="D1280" t="s">
        <v>327</v>
      </c>
      <c r="E1280" t="s">
        <v>327</v>
      </c>
      <c r="F1280" t="s">
        <v>327</v>
      </c>
      <c r="G1280" t="s">
        <v>327</v>
      </c>
      <c r="H1280" t="s">
        <v>327</v>
      </c>
      <c r="I1280" t="s">
        <v>5811</v>
      </c>
    </row>
    <row r="1281" spans="1:9">
      <c r="A1281" s="5" t="s">
        <v>327</v>
      </c>
      <c r="B1281" s="5" t="s">
        <v>5812</v>
      </c>
      <c r="C1281" t="s">
        <v>5813</v>
      </c>
      <c r="D1281" t="s">
        <v>327</v>
      </c>
      <c r="E1281" t="s">
        <v>327</v>
      </c>
      <c r="F1281" t="s">
        <v>327</v>
      </c>
      <c r="G1281" t="s">
        <v>327</v>
      </c>
      <c r="H1281" t="s">
        <v>327</v>
      </c>
      <c r="I1281" t="s">
        <v>3277</v>
      </c>
    </row>
    <row r="1282" spans="1:9">
      <c r="A1282" s="5" t="s">
        <v>327</v>
      </c>
      <c r="B1282" s="5" t="s">
        <v>5814</v>
      </c>
      <c r="C1282" t="s">
        <v>5815</v>
      </c>
      <c r="D1282" t="s">
        <v>327</v>
      </c>
      <c r="E1282" t="s">
        <v>327</v>
      </c>
      <c r="F1282" t="s">
        <v>327</v>
      </c>
      <c r="G1282" t="s">
        <v>327</v>
      </c>
      <c r="H1282" t="s">
        <v>327</v>
      </c>
      <c r="I1282" t="s">
        <v>1797</v>
      </c>
    </row>
    <row r="1283" spans="1:9">
      <c r="A1283" s="5" t="s">
        <v>327</v>
      </c>
      <c r="B1283" s="5" t="s">
        <v>5816</v>
      </c>
      <c r="C1283" t="s">
        <v>5817</v>
      </c>
      <c r="D1283" t="s">
        <v>327</v>
      </c>
      <c r="E1283" t="s">
        <v>327</v>
      </c>
      <c r="F1283" t="s">
        <v>327</v>
      </c>
      <c r="G1283" t="s">
        <v>327</v>
      </c>
      <c r="H1283" t="s">
        <v>327</v>
      </c>
      <c r="I1283" t="s">
        <v>5818</v>
      </c>
    </row>
    <row r="1284" spans="1:9">
      <c r="A1284" s="5" t="s">
        <v>327</v>
      </c>
      <c r="B1284" s="5" t="s">
        <v>5819</v>
      </c>
      <c r="C1284" t="s">
        <v>5820</v>
      </c>
      <c r="D1284" t="s">
        <v>327</v>
      </c>
      <c r="E1284" t="s">
        <v>327</v>
      </c>
      <c r="F1284" t="s">
        <v>327</v>
      </c>
      <c r="G1284" t="s">
        <v>327</v>
      </c>
      <c r="H1284" t="s">
        <v>327</v>
      </c>
      <c r="I1284" t="s">
        <v>355</v>
      </c>
    </row>
    <row r="1285" spans="1:9">
      <c r="A1285" s="5" t="s">
        <v>327</v>
      </c>
      <c r="B1285" s="5" t="s">
        <v>5821</v>
      </c>
      <c r="C1285" t="s">
        <v>5822</v>
      </c>
      <c r="D1285" t="s">
        <v>327</v>
      </c>
      <c r="E1285" t="s">
        <v>327</v>
      </c>
      <c r="F1285" t="s">
        <v>327</v>
      </c>
      <c r="G1285" t="s">
        <v>327</v>
      </c>
      <c r="H1285" t="s">
        <v>327</v>
      </c>
      <c r="I1285" t="s">
        <v>5823</v>
      </c>
    </row>
    <row r="1286" spans="1:9">
      <c r="A1286" s="5" t="s">
        <v>327</v>
      </c>
      <c r="B1286" s="5" t="s">
        <v>5824</v>
      </c>
      <c r="C1286" t="s">
        <v>5825</v>
      </c>
      <c r="D1286" t="s">
        <v>327</v>
      </c>
      <c r="E1286" t="s">
        <v>327</v>
      </c>
      <c r="F1286" t="s">
        <v>327</v>
      </c>
      <c r="G1286" t="s">
        <v>327</v>
      </c>
      <c r="H1286" t="s">
        <v>327</v>
      </c>
      <c r="I1286" t="s">
        <v>5826</v>
      </c>
    </row>
    <row r="1287" spans="1:9">
      <c r="A1287" s="5" t="s">
        <v>327</v>
      </c>
      <c r="B1287" s="5" t="s">
        <v>5827</v>
      </c>
      <c r="C1287" t="s">
        <v>5828</v>
      </c>
      <c r="D1287" t="s">
        <v>327</v>
      </c>
      <c r="E1287" t="s">
        <v>327</v>
      </c>
      <c r="F1287" t="s">
        <v>327</v>
      </c>
      <c r="G1287" t="s">
        <v>327</v>
      </c>
      <c r="H1287" t="s">
        <v>327</v>
      </c>
      <c r="I1287" t="s">
        <v>2896</v>
      </c>
    </row>
    <row r="1288" spans="1:9">
      <c r="A1288" s="5" t="s">
        <v>327</v>
      </c>
      <c r="B1288" s="5" t="s">
        <v>5829</v>
      </c>
      <c r="C1288" t="s">
        <v>5830</v>
      </c>
      <c r="D1288" t="s">
        <v>327</v>
      </c>
      <c r="E1288" t="s">
        <v>327</v>
      </c>
      <c r="F1288" t="s">
        <v>327</v>
      </c>
      <c r="G1288" t="s">
        <v>327</v>
      </c>
      <c r="H1288" t="s">
        <v>327</v>
      </c>
      <c r="I1288" t="s">
        <v>2066</v>
      </c>
    </row>
    <row r="1289" spans="1:9">
      <c r="A1289" s="5" t="s">
        <v>327</v>
      </c>
      <c r="B1289" s="5" t="s">
        <v>5831</v>
      </c>
      <c r="C1289" t="s">
        <v>5832</v>
      </c>
      <c r="D1289" t="s">
        <v>327</v>
      </c>
      <c r="E1289" t="s">
        <v>327</v>
      </c>
      <c r="F1289" t="s">
        <v>327</v>
      </c>
      <c r="G1289" t="s">
        <v>327</v>
      </c>
      <c r="H1289" t="s">
        <v>327</v>
      </c>
      <c r="I1289" t="s">
        <v>2132</v>
      </c>
    </row>
    <row r="1290" spans="1:9">
      <c r="A1290" s="5" t="s">
        <v>327</v>
      </c>
      <c r="B1290" s="5" t="s">
        <v>5833</v>
      </c>
      <c r="C1290" t="s">
        <v>5834</v>
      </c>
      <c r="D1290" t="s">
        <v>327</v>
      </c>
      <c r="E1290" t="s">
        <v>327</v>
      </c>
      <c r="F1290" t="s">
        <v>327</v>
      </c>
      <c r="G1290" t="s">
        <v>327</v>
      </c>
      <c r="H1290" t="s">
        <v>327</v>
      </c>
      <c r="I1290" t="s">
        <v>441</v>
      </c>
    </row>
    <row r="1291" spans="1:9">
      <c r="A1291" s="5" t="s">
        <v>327</v>
      </c>
      <c r="B1291" s="5" t="s">
        <v>5835</v>
      </c>
      <c r="C1291" t="s">
        <v>5836</v>
      </c>
      <c r="D1291" t="s">
        <v>327</v>
      </c>
      <c r="E1291" t="s">
        <v>327</v>
      </c>
      <c r="F1291" t="s">
        <v>327</v>
      </c>
      <c r="G1291" t="s">
        <v>327</v>
      </c>
      <c r="H1291" t="s">
        <v>327</v>
      </c>
      <c r="I1291" t="s">
        <v>441</v>
      </c>
    </row>
    <row r="1292" spans="1:9">
      <c r="A1292" s="5" t="s">
        <v>327</v>
      </c>
      <c r="B1292" s="5" t="s">
        <v>5837</v>
      </c>
      <c r="C1292" t="s">
        <v>5838</v>
      </c>
      <c r="D1292" t="s">
        <v>327</v>
      </c>
      <c r="E1292" t="s">
        <v>327</v>
      </c>
      <c r="F1292" t="s">
        <v>327</v>
      </c>
      <c r="G1292" t="s">
        <v>327</v>
      </c>
      <c r="H1292" t="s">
        <v>327</v>
      </c>
      <c r="I1292" t="s">
        <v>2146</v>
      </c>
    </row>
    <row r="1293" spans="1:9">
      <c r="A1293" s="5" t="s">
        <v>327</v>
      </c>
      <c r="B1293" s="5" t="s">
        <v>5839</v>
      </c>
      <c r="C1293" t="s">
        <v>5840</v>
      </c>
      <c r="D1293" t="s">
        <v>327</v>
      </c>
      <c r="E1293" t="s">
        <v>327</v>
      </c>
      <c r="F1293" t="s">
        <v>327</v>
      </c>
      <c r="G1293" t="s">
        <v>327</v>
      </c>
      <c r="H1293" t="s">
        <v>327</v>
      </c>
      <c r="I1293" t="s">
        <v>5841</v>
      </c>
    </row>
    <row r="1294" spans="1:9">
      <c r="A1294" s="5" t="s">
        <v>327</v>
      </c>
      <c r="B1294" s="5" t="s">
        <v>448</v>
      </c>
      <c r="C1294" t="s">
        <v>5842</v>
      </c>
      <c r="D1294" t="s">
        <v>327</v>
      </c>
      <c r="E1294" t="s">
        <v>327</v>
      </c>
      <c r="F1294" t="s">
        <v>327</v>
      </c>
      <c r="G1294" t="s">
        <v>327</v>
      </c>
      <c r="H1294" t="s">
        <v>327</v>
      </c>
      <c r="I1294" t="s">
        <v>1342</v>
      </c>
    </row>
    <row r="1295" spans="1:9">
      <c r="A1295" s="5" t="s">
        <v>327</v>
      </c>
      <c r="B1295" s="5" t="s">
        <v>5843</v>
      </c>
      <c r="C1295" t="s">
        <v>5844</v>
      </c>
      <c r="D1295" t="s">
        <v>327</v>
      </c>
      <c r="E1295" t="s">
        <v>327</v>
      </c>
      <c r="F1295" t="s">
        <v>327</v>
      </c>
      <c r="G1295" t="s">
        <v>327</v>
      </c>
      <c r="H1295" t="s">
        <v>327</v>
      </c>
      <c r="I1295" t="s">
        <v>1140</v>
      </c>
    </row>
    <row r="1296" spans="1:9">
      <c r="A1296" s="5" t="s">
        <v>327</v>
      </c>
      <c r="B1296" s="5" t="s">
        <v>5845</v>
      </c>
      <c r="C1296" t="s">
        <v>5846</v>
      </c>
      <c r="D1296" t="s">
        <v>327</v>
      </c>
      <c r="E1296" t="s">
        <v>327</v>
      </c>
      <c r="F1296" t="s">
        <v>327</v>
      </c>
      <c r="G1296" t="s">
        <v>327</v>
      </c>
      <c r="H1296" t="s">
        <v>327</v>
      </c>
      <c r="I1296" t="s">
        <v>5847</v>
      </c>
    </row>
    <row r="1297" spans="1:9">
      <c r="A1297" s="5" t="s">
        <v>327</v>
      </c>
      <c r="B1297" s="5" t="s">
        <v>5848</v>
      </c>
      <c r="C1297" t="s">
        <v>5849</v>
      </c>
      <c r="D1297" t="s">
        <v>327</v>
      </c>
      <c r="E1297" t="s">
        <v>327</v>
      </c>
      <c r="F1297" t="s">
        <v>327</v>
      </c>
      <c r="G1297" t="s">
        <v>327</v>
      </c>
      <c r="H1297" t="s">
        <v>327</v>
      </c>
      <c r="I1297" t="s">
        <v>1841</v>
      </c>
    </row>
    <row r="1298" spans="1:9">
      <c r="A1298" s="5" t="s">
        <v>327</v>
      </c>
      <c r="B1298" s="5" t="s">
        <v>5850</v>
      </c>
      <c r="C1298" t="s">
        <v>5851</v>
      </c>
      <c r="D1298" t="s">
        <v>327</v>
      </c>
      <c r="E1298" t="s">
        <v>327</v>
      </c>
      <c r="F1298" t="s">
        <v>327</v>
      </c>
      <c r="G1298" t="s">
        <v>327</v>
      </c>
      <c r="H1298" t="s">
        <v>327</v>
      </c>
      <c r="I1298" t="s">
        <v>5852</v>
      </c>
    </row>
    <row r="1299" spans="1:9">
      <c r="A1299" s="5" t="s">
        <v>327</v>
      </c>
      <c r="B1299" s="5" t="s">
        <v>5853</v>
      </c>
      <c r="C1299" t="s">
        <v>5854</v>
      </c>
      <c r="D1299" t="s">
        <v>327</v>
      </c>
      <c r="E1299" t="s">
        <v>327</v>
      </c>
      <c r="F1299" t="s">
        <v>327</v>
      </c>
      <c r="G1299" t="s">
        <v>327</v>
      </c>
      <c r="H1299" t="s">
        <v>327</v>
      </c>
      <c r="I1299" t="s">
        <v>5855</v>
      </c>
    </row>
    <row r="1300" spans="1:9">
      <c r="A1300" s="5" t="s">
        <v>327</v>
      </c>
      <c r="B1300" s="5" t="s">
        <v>5856</v>
      </c>
      <c r="C1300" t="s">
        <v>5857</v>
      </c>
      <c r="D1300" t="s">
        <v>327</v>
      </c>
      <c r="E1300" t="s">
        <v>327</v>
      </c>
      <c r="F1300" t="s">
        <v>327</v>
      </c>
      <c r="G1300" t="s">
        <v>327</v>
      </c>
      <c r="H1300" t="s">
        <v>327</v>
      </c>
      <c r="I1300" t="s">
        <v>5858</v>
      </c>
    </row>
    <row r="1301" spans="1:9">
      <c r="A1301" s="5" t="s">
        <v>327</v>
      </c>
      <c r="B1301" s="5" t="s">
        <v>5859</v>
      </c>
      <c r="C1301" t="s">
        <v>5860</v>
      </c>
      <c r="D1301" t="s">
        <v>327</v>
      </c>
      <c r="E1301" t="s">
        <v>327</v>
      </c>
      <c r="F1301" t="s">
        <v>327</v>
      </c>
      <c r="G1301" t="s">
        <v>327</v>
      </c>
      <c r="H1301" t="s">
        <v>327</v>
      </c>
      <c r="I1301" t="s">
        <v>2319</v>
      </c>
    </row>
    <row r="1302" spans="1:9">
      <c r="A1302" s="5" t="s">
        <v>327</v>
      </c>
      <c r="B1302" s="5" t="s">
        <v>5861</v>
      </c>
      <c r="C1302" t="s">
        <v>5862</v>
      </c>
      <c r="D1302" t="s">
        <v>327</v>
      </c>
      <c r="E1302" t="s">
        <v>327</v>
      </c>
      <c r="F1302" t="s">
        <v>327</v>
      </c>
      <c r="G1302" t="s">
        <v>327</v>
      </c>
      <c r="H1302" t="s">
        <v>327</v>
      </c>
      <c r="I1302" t="s">
        <v>1342</v>
      </c>
    </row>
    <row r="1303" spans="1:9">
      <c r="A1303" s="5" t="s">
        <v>327</v>
      </c>
      <c r="B1303" s="5" t="s">
        <v>5863</v>
      </c>
      <c r="C1303" t="s">
        <v>5864</v>
      </c>
      <c r="D1303" t="s">
        <v>327</v>
      </c>
      <c r="E1303" t="s">
        <v>327</v>
      </c>
      <c r="F1303" t="s">
        <v>327</v>
      </c>
      <c r="G1303" t="s">
        <v>327</v>
      </c>
      <c r="H1303" t="s">
        <v>327</v>
      </c>
      <c r="I1303" t="s">
        <v>1622</v>
      </c>
    </row>
    <row r="1304" spans="1:9">
      <c r="A1304" s="5" t="s">
        <v>327</v>
      </c>
      <c r="B1304" s="5" t="s">
        <v>1365</v>
      </c>
      <c r="C1304" t="s">
        <v>5865</v>
      </c>
      <c r="D1304" t="s">
        <v>327</v>
      </c>
      <c r="E1304" t="s">
        <v>327</v>
      </c>
      <c r="F1304" t="s">
        <v>327</v>
      </c>
      <c r="G1304" t="s">
        <v>327</v>
      </c>
      <c r="H1304" t="s">
        <v>327</v>
      </c>
      <c r="I1304" t="s">
        <v>718</v>
      </c>
    </row>
    <row r="1305" spans="1:9">
      <c r="A1305" s="5" t="s">
        <v>327</v>
      </c>
      <c r="B1305" s="5" t="s">
        <v>5866</v>
      </c>
      <c r="C1305" t="s">
        <v>268</v>
      </c>
      <c r="D1305" t="s">
        <v>327</v>
      </c>
      <c r="E1305" t="s">
        <v>327</v>
      </c>
      <c r="F1305" t="s">
        <v>327</v>
      </c>
      <c r="G1305" t="s">
        <v>327</v>
      </c>
      <c r="H1305" t="s">
        <v>327</v>
      </c>
      <c r="I1305" t="s">
        <v>2759</v>
      </c>
    </row>
    <row r="1306" spans="1:9">
      <c r="A1306" s="5" t="s">
        <v>327</v>
      </c>
      <c r="B1306" s="5" t="s">
        <v>5867</v>
      </c>
      <c r="C1306" t="s">
        <v>117</v>
      </c>
      <c r="D1306" t="s">
        <v>327</v>
      </c>
      <c r="E1306" t="s">
        <v>327</v>
      </c>
      <c r="F1306" t="s">
        <v>327</v>
      </c>
      <c r="G1306" t="s">
        <v>327</v>
      </c>
      <c r="H1306" t="s">
        <v>327</v>
      </c>
      <c r="I1306" t="s">
        <v>1075</v>
      </c>
    </row>
    <row r="1307" spans="1:9">
      <c r="A1307" s="5" t="s">
        <v>327</v>
      </c>
      <c r="B1307" s="5" t="s">
        <v>5868</v>
      </c>
      <c r="C1307" t="s">
        <v>164</v>
      </c>
      <c r="D1307" t="s">
        <v>327</v>
      </c>
      <c r="E1307" t="s">
        <v>327</v>
      </c>
      <c r="F1307" t="s">
        <v>327</v>
      </c>
      <c r="G1307" t="s">
        <v>327</v>
      </c>
      <c r="H1307" t="s">
        <v>327</v>
      </c>
      <c r="I1307" t="s">
        <v>2063</v>
      </c>
    </row>
    <row r="1308" spans="1:9">
      <c r="A1308" s="5" t="s">
        <v>327</v>
      </c>
      <c r="B1308" s="5" t="s">
        <v>5869</v>
      </c>
      <c r="C1308" t="s">
        <v>5870</v>
      </c>
      <c r="D1308" t="s">
        <v>327</v>
      </c>
      <c r="E1308" t="s">
        <v>327</v>
      </c>
      <c r="F1308" t="s">
        <v>327</v>
      </c>
      <c r="G1308" t="s">
        <v>327</v>
      </c>
      <c r="H1308" t="s">
        <v>327</v>
      </c>
      <c r="I1308" t="s">
        <v>5871</v>
      </c>
    </row>
    <row r="1309" spans="1:9">
      <c r="A1309" s="5" t="s">
        <v>327</v>
      </c>
      <c r="B1309" s="5" t="s">
        <v>5872</v>
      </c>
      <c r="C1309" t="s">
        <v>5873</v>
      </c>
      <c r="D1309" t="s">
        <v>327</v>
      </c>
      <c r="E1309" t="s">
        <v>327</v>
      </c>
      <c r="F1309" t="s">
        <v>327</v>
      </c>
      <c r="G1309" t="s">
        <v>327</v>
      </c>
      <c r="H1309" t="s">
        <v>327</v>
      </c>
      <c r="I1309" t="s">
        <v>5847</v>
      </c>
    </row>
    <row r="1310" spans="1:9">
      <c r="A1310" s="5" t="s">
        <v>327</v>
      </c>
      <c r="B1310" s="5" t="s">
        <v>5874</v>
      </c>
      <c r="C1310" t="s">
        <v>5875</v>
      </c>
      <c r="D1310" t="s">
        <v>327</v>
      </c>
      <c r="E1310" t="s">
        <v>327</v>
      </c>
      <c r="F1310" t="s">
        <v>327</v>
      </c>
      <c r="G1310" t="s">
        <v>327</v>
      </c>
      <c r="H1310" t="s">
        <v>327</v>
      </c>
      <c r="I1310" t="s">
        <v>2836</v>
      </c>
    </row>
    <row r="1311" spans="1:9">
      <c r="A1311" s="5" t="s">
        <v>327</v>
      </c>
      <c r="B1311" s="5" t="s">
        <v>5876</v>
      </c>
      <c r="C1311" t="s">
        <v>5877</v>
      </c>
      <c r="D1311" t="s">
        <v>327</v>
      </c>
      <c r="E1311" t="s">
        <v>327</v>
      </c>
      <c r="F1311" t="s">
        <v>327</v>
      </c>
      <c r="G1311" t="s">
        <v>327</v>
      </c>
      <c r="H1311" t="s">
        <v>327</v>
      </c>
      <c r="I1311" t="s">
        <v>5878</v>
      </c>
    </row>
    <row r="1312" spans="1:9">
      <c r="A1312" s="5" t="s">
        <v>327</v>
      </c>
      <c r="B1312" s="5" t="s">
        <v>1329</v>
      </c>
      <c r="C1312" t="s">
        <v>5879</v>
      </c>
      <c r="D1312" t="s">
        <v>327</v>
      </c>
      <c r="E1312" t="s">
        <v>327</v>
      </c>
      <c r="F1312" t="s">
        <v>327</v>
      </c>
      <c r="G1312" t="s">
        <v>327</v>
      </c>
      <c r="H1312" t="s">
        <v>327</v>
      </c>
      <c r="I1312" t="s">
        <v>2222</v>
      </c>
    </row>
    <row r="1313" spans="1:9">
      <c r="A1313" s="5" t="s">
        <v>327</v>
      </c>
      <c r="B1313" s="5" t="s">
        <v>5880</v>
      </c>
      <c r="C1313" t="s">
        <v>5881</v>
      </c>
      <c r="D1313" t="s">
        <v>327</v>
      </c>
      <c r="E1313" t="s">
        <v>327</v>
      </c>
      <c r="F1313" t="s">
        <v>327</v>
      </c>
      <c r="G1313" t="s">
        <v>327</v>
      </c>
      <c r="H1313" t="s">
        <v>327</v>
      </c>
      <c r="I1313" t="s">
        <v>1622</v>
      </c>
    </row>
    <row r="1314" spans="1:9">
      <c r="A1314" s="5" t="s">
        <v>327</v>
      </c>
      <c r="B1314" s="5" t="s">
        <v>5882</v>
      </c>
      <c r="C1314" t="s">
        <v>5883</v>
      </c>
      <c r="D1314" t="s">
        <v>327</v>
      </c>
      <c r="E1314" t="s">
        <v>327</v>
      </c>
      <c r="F1314" t="s">
        <v>327</v>
      </c>
      <c r="G1314" t="s">
        <v>327</v>
      </c>
      <c r="H1314" t="s">
        <v>327</v>
      </c>
      <c r="I1314" t="s">
        <v>1140</v>
      </c>
    </row>
    <row r="1315" spans="1:9">
      <c r="A1315" s="5" t="s">
        <v>327</v>
      </c>
      <c r="B1315" s="5" t="s">
        <v>5884</v>
      </c>
      <c r="C1315" t="s">
        <v>5885</v>
      </c>
      <c r="D1315" t="s">
        <v>327</v>
      </c>
      <c r="E1315" t="s">
        <v>327</v>
      </c>
      <c r="F1315" t="s">
        <v>327</v>
      </c>
      <c r="G1315" t="s">
        <v>327</v>
      </c>
      <c r="H1315" t="s">
        <v>327</v>
      </c>
      <c r="I1315" t="s">
        <v>1140</v>
      </c>
    </row>
    <row r="1316" spans="1:9">
      <c r="A1316" s="5" t="s">
        <v>327</v>
      </c>
      <c r="B1316" s="5" t="s">
        <v>5886</v>
      </c>
      <c r="C1316" t="s">
        <v>5887</v>
      </c>
      <c r="D1316" t="s">
        <v>327</v>
      </c>
      <c r="E1316" t="s">
        <v>327</v>
      </c>
      <c r="F1316" t="s">
        <v>327</v>
      </c>
      <c r="G1316" t="s">
        <v>327</v>
      </c>
      <c r="H1316" t="s">
        <v>327</v>
      </c>
      <c r="I1316" t="s">
        <v>1622</v>
      </c>
    </row>
    <row r="1317" spans="1:9">
      <c r="A1317" s="5" t="s">
        <v>327</v>
      </c>
      <c r="B1317" s="5" t="s">
        <v>5888</v>
      </c>
      <c r="C1317" t="s">
        <v>5889</v>
      </c>
      <c r="D1317" t="s">
        <v>327</v>
      </c>
      <c r="E1317" t="s">
        <v>327</v>
      </c>
      <c r="F1317" t="s">
        <v>327</v>
      </c>
      <c r="G1317" t="s">
        <v>327</v>
      </c>
      <c r="H1317" t="s">
        <v>327</v>
      </c>
      <c r="I1317" t="s">
        <v>1358</v>
      </c>
    </row>
    <row r="1318" spans="1:9">
      <c r="A1318" s="5" t="s">
        <v>327</v>
      </c>
      <c r="B1318" s="5" t="s">
        <v>5890</v>
      </c>
      <c r="C1318" t="s">
        <v>5891</v>
      </c>
      <c r="D1318" t="s">
        <v>327</v>
      </c>
      <c r="E1318" t="s">
        <v>327</v>
      </c>
      <c r="F1318" t="s">
        <v>327</v>
      </c>
      <c r="G1318" t="s">
        <v>327</v>
      </c>
      <c r="H1318" t="s">
        <v>327</v>
      </c>
      <c r="I1318" t="s">
        <v>5892</v>
      </c>
    </row>
    <row r="1319" spans="1:9">
      <c r="A1319" s="5" t="s">
        <v>327</v>
      </c>
      <c r="B1319" s="5" t="s">
        <v>5893</v>
      </c>
      <c r="C1319" t="s">
        <v>5894</v>
      </c>
      <c r="D1319" t="s">
        <v>327</v>
      </c>
      <c r="E1319" t="s">
        <v>327</v>
      </c>
      <c r="F1319" t="s">
        <v>327</v>
      </c>
      <c r="G1319" t="s">
        <v>327</v>
      </c>
      <c r="H1319" t="s">
        <v>327</v>
      </c>
      <c r="I1319" t="s">
        <v>5895</v>
      </c>
    </row>
    <row r="1320" spans="1:9">
      <c r="A1320" s="5" t="s">
        <v>327</v>
      </c>
      <c r="B1320" s="5" t="s">
        <v>5896</v>
      </c>
      <c r="C1320" t="s">
        <v>5897</v>
      </c>
      <c r="D1320" t="s">
        <v>327</v>
      </c>
      <c r="E1320" t="s">
        <v>327</v>
      </c>
      <c r="F1320" t="s">
        <v>327</v>
      </c>
      <c r="G1320" t="s">
        <v>327</v>
      </c>
      <c r="H1320" t="s">
        <v>327</v>
      </c>
      <c r="I1320" t="s">
        <v>1622</v>
      </c>
    </row>
    <row r="1321" spans="1:9">
      <c r="A1321" s="5" t="s">
        <v>327</v>
      </c>
      <c r="B1321" s="5" t="s">
        <v>5898</v>
      </c>
      <c r="C1321" t="s">
        <v>5899</v>
      </c>
      <c r="D1321" t="s">
        <v>327</v>
      </c>
      <c r="E1321" t="s">
        <v>327</v>
      </c>
      <c r="F1321" t="s">
        <v>327</v>
      </c>
      <c r="G1321" t="s">
        <v>327</v>
      </c>
      <c r="H1321" t="s">
        <v>327</v>
      </c>
      <c r="I1321" t="s">
        <v>1622</v>
      </c>
    </row>
    <row r="1322" spans="1:9">
      <c r="A1322" s="5" t="s">
        <v>327</v>
      </c>
      <c r="B1322" s="5" t="s">
        <v>5900</v>
      </c>
      <c r="C1322" t="s">
        <v>5901</v>
      </c>
      <c r="D1322" t="s">
        <v>327</v>
      </c>
      <c r="E1322" t="s">
        <v>327</v>
      </c>
      <c r="F1322" t="s">
        <v>327</v>
      </c>
      <c r="G1322" t="s">
        <v>327</v>
      </c>
      <c r="H1322" t="s">
        <v>327</v>
      </c>
      <c r="I1322" t="s">
        <v>718</v>
      </c>
    </row>
    <row r="1323" spans="1:9">
      <c r="A1323" s="5" t="s">
        <v>327</v>
      </c>
      <c r="B1323" s="5" t="s">
        <v>5902</v>
      </c>
      <c r="C1323" t="s">
        <v>5903</v>
      </c>
      <c r="D1323" t="s">
        <v>327</v>
      </c>
      <c r="E1323" t="s">
        <v>327</v>
      </c>
      <c r="F1323" t="s">
        <v>327</v>
      </c>
      <c r="G1323" t="s">
        <v>327</v>
      </c>
      <c r="H1323" t="s">
        <v>327</v>
      </c>
      <c r="I1323" t="s">
        <v>5904</v>
      </c>
    </row>
    <row r="1324" spans="1:9">
      <c r="A1324" s="5" t="s">
        <v>327</v>
      </c>
      <c r="B1324" s="5" t="s">
        <v>5905</v>
      </c>
      <c r="C1324" t="s">
        <v>5906</v>
      </c>
      <c r="D1324" t="s">
        <v>327</v>
      </c>
      <c r="E1324" t="s">
        <v>327</v>
      </c>
      <c r="F1324" t="s">
        <v>327</v>
      </c>
      <c r="G1324" t="s">
        <v>327</v>
      </c>
      <c r="H1324" t="s">
        <v>327</v>
      </c>
      <c r="I1324" t="s">
        <v>2319</v>
      </c>
    </row>
    <row r="1325" spans="1:9">
      <c r="A1325" s="5" t="s">
        <v>327</v>
      </c>
      <c r="B1325" s="5" t="s">
        <v>1886</v>
      </c>
      <c r="C1325" t="s">
        <v>5907</v>
      </c>
      <c r="D1325" t="s">
        <v>327</v>
      </c>
      <c r="E1325" t="s">
        <v>327</v>
      </c>
      <c r="F1325" t="s">
        <v>327</v>
      </c>
      <c r="G1325" t="s">
        <v>327</v>
      </c>
      <c r="H1325" t="s">
        <v>327</v>
      </c>
      <c r="I1325" t="s">
        <v>1343</v>
      </c>
    </row>
    <row r="1326" spans="1:9">
      <c r="A1326" s="5" t="s">
        <v>327</v>
      </c>
      <c r="B1326" s="5" t="s">
        <v>5908</v>
      </c>
      <c r="C1326" t="s">
        <v>5909</v>
      </c>
      <c r="D1326" t="s">
        <v>327</v>
      </c>
      <c r="E1326" t="s">
        <v>327</v>
      </c>
      <c r="F1326" t="s">
        <v>327</v>
      </c>
      <c r="G1326" t="s">
        <v>327</v>
      </c>
      <c r="H1326" t="s">
        <v>327</v>
      </c>
      <c r="I1326" t="s">
        <v>5910</v>
      </c>
    </row>
    <row r="1327" spans="1:9">
      <c r="A1327" s="5" t="s">
        <v>327</v>
      </c>
      <c r="B1327" s="5" t="s">
        <v>5911</v>
      </c>
      <c r="C1327" t="s">
        <v>5912</v>
      </c>
      <c r="D1327" t="s">
        <v>327</v>
      </c>
      <c r="E1327" t="s">
        <v>327</v>
      </c>
      <c r="F1327" t="s">
        <v>327</v>
      </c>
      <c r="G1327" t="s">
        <v>327</v>
      </c>
      <c r="H1327" t="s">
        <v>327</v>
      </c>
      <c r="I1327" t="s">
        <v>827</v>
      </c>
    </row>
    <row r="1328" spans="1:9">
      <c r="A1328" s="5" t="s">
        <v>327</v>
      </c>
      <c r="B1328" s="5" t="s">
        <v>5913</v>
      </c>
      <c r="C1328" t="s">
        <v>5914</v>
      </c>
      <c r="D1328" t="s">
        <v>327</v>
      </c>
      <c r="E1328" t="s">
        <v>327</v>
      </c>
      <c r="F1328" t="s">
        <v>327</v>
      </c>
      <c r="G1328" t="s">
        <v>327</v>
      </c>
      <c r="H1328" t="s">
        <v>327</v>
      </c>
      <c r="I1328" t="s">
        <v>2401</v>
      </c>
    </row>
    <row r="1329" spans="1:9">
      <c r="A1329" s="5" t="s">
        <v>327</v>
      </c>
      <c r="B1329" s="5" t="s">
        <v>5915</v>
      </c>
      <c r="C1329" t="s">
        <v>5916</v>
      </c>
      <c r="D1329" t="s">
        <v>327</v>
      </c>
      <c r="E1329" t="s">
        <v>327</v>
      </c>
      <c r="F1329" t="s">
        <v>327</v>
      </c>
      <c r="G1329" t="s">
        <v>327</v>
      </c>
      <c r="H1329" t="s">
        <v>327</v>
      </c>
      <c r="I1329" t="s">
        <v>5917</v>
      </c>
    </row>
    <row r="1330" spans="1:9">
      <c r="A1330" s="5" t="s">
        <v>327</v>
      </c>
      <c r="B1330" s="5" t="s">
        <v>5918</v>
      </c>
      <c r="C1330" t="s">
        <v>5919</v>
      </c>
      <c r="D1330" t="s">
        <v>327</v>
      </c>
      <c r="E1330" t="s">
        <v>327</v>
      </c>
      <c r="F1330" t="s">
        <v>327</v>
      </c>
      <c r="G1330" t="s">
        <v>327</v>
      </c>
      <c r="H1330" t="s">
        <v>327</v>
      </c>
      <c r="I1330" t="s">
        <v>1672</v>
      </c>
    </row>
    <row r="1331" spans="1:9">
      <c r="A1331" s="5" t="s">
        <v>327</v>
      </c>
      <c r="B1331" s="5" t="s">
        <v>2499</v>
      </c>
      <c r="C1331" t="s">
        <v>5920</v>
      </c>
      <c r="D1331" t="s">
        <v>327</v>
      </c>
      <c r="E1331" t="s">
        <v>327</v>
      </c>
      <c r="F1331" t="s">
        <v>327</v>
      </c>
      <c r="G1331" t="s">
        <v>327</v>
      </c>
      <c r="H1331" t="s">
        <v>327</v>
      </c>
      <c r="I1331" t="s">
        <v>5921</v>
      </c>
    </row>
    <row r="1332" spans="1:9">
      <c r="A1332" s="5" t="s">
        <v>327</v>
      </c>
      <c r="B1332" s="5" t="s">
        <v>5922</v>
      </c>
      <c r="C1332" t="s">
        <v>5923</v>
      </c>
      <c r="D1332" t="s">
        <v>327</v>
      </c>
      <c r="E1332" t="s">
        <v>327</v>
      </c>
      <c r="F1332" t="s">
        <v>327</v>
      </c>
      <c r="G1332" t="s">
        <v>327</v>
      </c>
      <c r="H1332" t="s">
        <v>327</v>
      </c>
      <c r="I1332" t="s">
        <v>2265</v>
      </c>
    </row>
    <row r="1333" spans="1:9">
      <c r="A1333" s="5" t="s">
        <v>327</v>
      </c>
      <c r="B1333" s="5" t="s">
        <v>5924</v>
      </c>
      <c r="C1333" t="s">
        <v>5925</v>
      </c>
      <c r="D1333" t="s">
        <v>327</v>
      </c>
      <c r="E1333" t="s">
        <v>327</v>
      </c>
      <c r="F1333" t="s">
        <v>327</v>
      </c>
      <c r="G1333" t="s">
        <v>327</v>
      </c>
      <c r="H1333" t="s">
        <v>327</v>
      </c>
      <c r="I1333" t="s">
        <v>5926</v>
      </c>
    </row>
    <row r="1334" spans="1:9">
      <c r="A1334" s="5" t="s">
        <v>327</v>
      </c>
      <c r="B1334" s="5" t="s">
        <v>5927</v>
      </c>
      <c r="C1334" t="s">
        <v>5928</v>
      </c>
      <c r="D1334" t="s">
        <v>327</v>
      </c>
      <c r="E1334" t="s">
        <v>327</v>
      </c>
      <c r="F1334" t="s">
        <v>327</v>
      </c>
      <c r="G1334" t="s">
        <v>327</v>
      </c>
      <c r="H1334" t="s">
        <v>327</v>
      </c>
      <c r="I1334" t="s">
        <v>2319</v>
      </c>
    </row>
    <row r="1335" spans="1:9">
      <c r="A1335" s="5" t="s">
        <v>327</v>
      </c>
      <c r="B1335" s="5" t="s">
        <v>5929</v>
      </c>
      <c r="C1335" t="s">
        <v>5930</v>
      </c>
      <c r="D1335" t="s">
        <v>327</v>
      </c>
      <c r="E1335" t="s">
        <v>327</v>
      </c>
      <c r="F1335" t="s">
        <v>327</v>
      </c>
      <c r="G1335" t="s">
        <v>327</v>
      </c>
      <c r="H1335" t="s">
        <v>327</v>
      </c>
      <c r="I1335" t="s">
        <v>5931</v>
      </c>
    </row>
    <row r="1336" spans="1:9">
      <c r="A1336" s="5" t="s">
        <v>327</v>
      </c>
      <c r="B1336" s="5" t="s">
        <v>5932</v>
      </c>
      <c r="C1336" t="s">
        <v>5933</v>
      </c>
      <c r="D1336" t="s">
        <v>327</v>
      </c>
      <c r="E1336" t="s">
        <v>327</v>
      </c>
      <c r="F1336" t="s">
        <v>327</v>
      </c>
      <c r="G1336" t="s">
        <v>327</v>
      </c>
      <c r="H1336" t="s">
        <v>327</v>
      </c>
      <c r="I1336" t="s">
        <v>5926</v>
      </c>
    </row>
    <row r="1337" spans="1:9">
      <c r="A1337" s="5" t="s">
        <v>327</v>
      </c>
      <c r="B1337" s="5" t="s">
        <v>5934</v>
      </c>
      <c r="C1337" t="s">
        <v>5935</v>
      </c>
      <c r="D1337" t="s">
        <v>327</v>
      </c>
      <c r="E1337" t="s">
        <v>327</v>
      </c>
      <c r="F1337" t="s">
        <v>327</v>
      </c>
      <c r="G1337" t="s">
        <v>327</v>
      </c>
      <c r="H1337" t="s">
        <v>327</v>
      </c>
      <c r="I1337" t="s">
        <v>5936</v>
      </c>
    </row>
    <row r="1338" spans="1:9">
      <c r="A1338" s="5" t="s">
        <v>327</v>
      </c>
      <c r="B1338" s="5" t="s">
        <v>5937</v>
      </c>
      <c r="C1338" t="s">
        <v>5938</v>
      </c>
      <c r="D1338" t="s">
        <v>327</v>
      </c>
      <c r="E1338" t="s">
        <v>327</v>
      </c>
      <c r="F1338" t="s">
        <v>327</v>
      </c>
      <c r="G1338" t="s">
        <v>327</v>
      </c>
      <c r="H1338" t="s">
        <v>327</v>
      </c>
      <c r="I1338" t="s">
        <v>1099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G8"/>
  <sheetViews>
    <sheetView workbookViewId="0">
      <pane ySplit="1" topLeftCell="A2" activePane="bottomLeft" state="frozen"/>
      <selection pane="bottomLeft" activeCell="A8" sqref="A8"/>
    </sheetView>
  </sheetViews>
  <sheetFormatPr defaultRowHeight="14.45"/>
  <cols>
    <col min="1" max="7" width="24" customWidth="1"/>
  </cols>
  <sheetData>
    <row r="1" spans="1:7">
      <c r="A1" s="1" t="s">
        <v>271</v>
      </c>
      <c r="B1" s="1" t="s">
        <v>5939</v>
      </c>
      <c r="C1" s="1" t="s">
        <v>5940</v>
      </c>
      <c r="D1" s="1" t="s">
        <v>5941</v>
      </c>
      <c r="E1" s="1" t="s">
        <v>5942</v>
      </c>
      <c r="F1" s="1" t="s">
        <v>5943</v>
      </c>
      <c r="G1" s="1" t="s">
        <v>5944</v>
      </c>
    </row>
    <row r="2" spans="1:7">
      <c r="A2" t="s">
        <v>277</v>
      </c>
      <c r="B2">
        <v>4</v>
      </c>
      <c r="C2">
        <v>1</v>
      </c>
      <c r="D2" t="s">
        <v>5945</v>
      </c>
      <c r="E2">
        <v>6</v>
      </c>
      <c r="F2">
        <v>12000</v>
      </c>
      <c r="G2" t="s">
        <v>5946</v>
      </c>
    </row>
    <row r="3" spans="1:7">
      <c r="A3" t="s">
        <v>277</v>
      </c>
      <c r="B3">
        <v>4</v>
      </c>
      <c r="C3">
        <v>2</v>
      </c>
      <c r="D3" t="s">
        <v>5947</v>
      </c>
      <c r="E3">
        <v>8</v>
      </c>
      <c r="F3">
        <v>15000</v>
      </c>
      <c r="G3" t="s">
        <v>5948</v>
      </c>
    </row>
    <row r="4" spans="1:7">
      <c r="A4" t="s">
        <v>277</v>
      </c>
      <c r="B4">
        <v>4</v>
      </c>
      <c r="C4">
        <v>3</v>
      </c>
      <c r="D4" t="s">
        <v>5949</v>
      </c>
      <c r="E4">
        <v>20</v>
      </c>
      <c r="F4">
        <v>9000</v>
      </c>
    </row>
    <row r="5" spans="1:7">
      <c r="A5" t="s">
        <v>277</v>
      </c>
      <c r="B5">
        <v>4</v>
      </c>
      <c r="C5">
        <v>4</v>
      </c>
      <c r="D5" t="s">
        <v>5950</v>
      </c>
      <c r="E5">
        <v>1</v>
      </c>
      <c r="F5">
        <v>9000</v>
      </c>
      <c r="G5" t="s">
        <v>5951</v>
      </c>
    </row>
    <row r="6" spans="1:7">
      <c r="A6" t="s">
        <v>287</v>
      </c>
      <c r="B6">
        <v>3</v>
      </c>
      <c r="C6">
        <v>1</v>
      </c>
      <c r="D6" t="s">
        <v>5952</v>
      </c>
      <c r="E6">
        <v>1</v>
      </c>
      <c r="F6">
        <v>8000</v>
      </c>
      <c r="G6" t="s">
        <v>5953</v>
      </c>
    </row>
    <row r="7" spans="1:7">
      <c r="A7" s="10" t="s">
        <v>164</v>
      </c>
    </row>
    <row r="8" spans="1:7">
      <c r="A8" s="10" t="s">
        <v>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I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9" width="22" customWidth="1"/>
  </cols>
  <sheetData>
    <row r="1" spans="1:9">
      <c r="A1" s="1" t="s">
        <v>271</v>
      </c>
      <c r="B1" s="1" t="s">
        <v>5954</v>
      </c>
      <c r="C1" s="1" t="s">
        <v>5955</v>
      </c>
      <c r="D1" s="1" t="s">
        <v>5956</v>
      </c>
      <c r="E1" s="1" t="s">
        <v>5957</v>
      </c>
      <c r="F1" s="1" t="s">
        <v>273</v>
      </c>
      <c r="G1" s="1" t="s">
        <v>5958</v>
      </c>
      <c r="H1" s="1" t="s">
        <v>103</v>
      </c>
      <c r="I1" s="1" t="s">
        <v>5959</v>
      </c>
    </row>
    <row r="2" spans="1:9">
      <c r="A2" t="s">
        <v>277</v>
      </c>
      <c r="B2" t="s">
        <v>5960</v>
      </c>
      <c r="C2" t="s">
        <v>5961</v>
      </c>
      <c r="D2" t="s">
        <v>5962</v>
      </c>
      <c r="E2" t="s">
        <v>5963</v>
      </c>
      <c r="F2" t="s">
        <v>5964</v>
      </c>
      <c r="G2" t="s">
        <v>5965</v>
      </c>
      <c r="H2" t="s">
        <v>156</v>
      </c>
      <c r="I2" s="3" t="s">
        <v>5966</v>
      </c>
    </row>
    <row r="3" spans="1:9">
      <c r="A3" t="s">
        <v>287</v>
      </c>
      <c r="B3" t="s">
        <v>5967</v>
      </c>
      <c r="C3" t="s">
        <v>5961</v>
      </c>
      <c r="D3" t="s">
        <v>5963</v>
      </c>
      <c r="E3" t="s">
        <v>5962</v>
      </c>
      <c r="F3" t="s">
        <v>5968</v>
      </c>
      <c r="G3" t="s">
        <v>5969</v>
      </c>
      <c r="H3" t="s">
        <v>156</v>
      </c>
      <c r="I3" s="3" t="s">
        <v>5970</v>
      </c>
    </row>
  </sheetData>
  <dataValidations count="3">
    <dataValidation type="list" allowBlank="1" sqref="C2:C1048576" xr:uid="{00000000-0002-0000-0400-000000000000}">
      <formula1>"Risk,Issue"</formula1>
    </dataValidation>
    <dataValidation type="list" allowBlank="1" sqref="D2:E1048576" xr:uid="{00000000-0002-0000-0400-000001000000}">
      <formula1>"Low,Medium,High"</formula1>
    </dataValidation>
    <dataValidation type="list" allowBlank="1" sqref="H2:H1048576" xr:uid="{00000000-0002-0000-0400-000003000000}">
      <formula1>"Open,Mitigating,Closed"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H3"/>
  <sheetViews>
    <sheetView workbookViewId="0">
      <pane ySplit="1" topLeftCell="A2" activePane="bottomLeft" state="frozen"/>
      <selection pane="bottomLeft" activeCell="C2" sqref="C2"/>
    </sheetView>
  </sheetViews>
  <sheetFormatPr defaultRowHeight="14.45"/>
  <cols>
    <col min="1" max="8" width="24" customWidth="1"/>
  </cols>
  <sheetData>
    <row r="1" spans="1:8">
      <c r="A1" s="1" t="s">
        <v>271</v>
      </c>
      <c r="B1" s="1" t="s">
        <v>5971</v>
      </c>
      <c r="C1" s="1" t="s">
        <v>5972</v>
      </c>
      <c r="D1" s="1" t="s">
        <v>5973</v>
      </c>
      <c r="E1" s="1" t="s">
        <v>5974</v>
      </c>
      <c r="F1" s="1" t="s">
        <v>5975</v>
      </c>
      <c r="G1" s="1" t="s">
        <v>5976</v>
      </c>
      <c r="H1" s="1" t="s">
        <v>5977</v>
      </c>
    </row>
    <row r="2" spans="1:8">
      <c r="A2" t="s">
        <v>277</v>
      </c>
      <c r="B2" t="s">
        <v>5978</v>
      </c>
      <c r="C2" t="s">
        <v>5979</v>
      </c>
      <c r="D2" t="s">
        <v>5980</v>
      </c>
      <c r="E2" t="s">
        <v>5981</v>
      </c>
      <c r="F2" t="s">
        <v>5982</v>
      </c>
      <c r="G2" t="s">
        <v>5983</v>
      </c>
      <c r="H2" s="3" t="s">
        <v>5984</v>
      </c>
    </row>
    <row r="3" spans="1:8">
      <c r="A3" t="s">
        <v>287</v>
      </c>
      <c r="B3" t="s">
        <v>5985</v>
      </c>
      <c r="C3" t="s">
        <v>5986</v>
      </c>
      <c r="D3" t="s">
        <v>5987</v>
      </c>
      <c r="E3" t="s">
        <v>5988</v>
      </c>
      <c r="F3" t="s">
        <v>5989</v>
      </c>
      <c r="G3" t="s">
        <v>5990</v>
      </c>
      <c r="H3" s="3"/>
    </row>
  </sheetData>
  <dataValidations count="1">
    <dataValidation type="list" allowBlank="1" sqref="G2:G1048576" xr:uid="{00000000-0002-0000-0500-000000000000}">
      <formula1>"Pending,Approved,Rejected"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E4"/>
  <sheetViews>
    <sheetView workbookViewId="0">
      <pane ySplit="1" topLeftCell="A2" activePane="bottomLeft" state="frozen"/>
      <selection pane="bottomLeft" activeCell="A6" sqref="A6"/>
    </sheetView>
  </sheetViews>
  <sheetFormatPr defaultRowHeight="14.45"/>
  <cols>
    <col min="1" max="5" width="28" customWidth="1"/>
  </cols>
  <sheetData>
    <row r="1" spans="1:5">
      <c r="A1" s="1" t="s">
        <v>271</v>
      </c>
      <c r="B1" s="1" t="s">
        <v>5991</v>
      </c>
      <c r="C1" s="1" t="s">
        <v>5992</v>
      </c>
      <c r="D1" s="1" t="s">
        <v>5993</v>
      </c>
      <c r="E1" s="1" t="s">
        <v>5994</v>
      </c>
    </row>
    <row r="2" spans="1:5">
      <c r="A2" t="s">
        <v>277</v>
      </c>
      <c r="B2" t="s">
        <v>5995</v>
      </c>
      <c r="C2" t="s">
        <v>5996</v>
      </c>
      <c r="D2" t="s">
        <v>5997</v>
      </c>
      <c r="E2" s="3" t="s">
        <v>5998</v>
      </c>
    </row>
    <row r="3" spans="1:5">
      <c r="A3" t="s">
        <v>277</v>
      </c>
      <c r="B3" t="s">
        <v>5999</v>
      </c>
      <c r="C3" t="s">
        <v>6000</v>
      </c>
      <c r="D3" t="s">
        <v>6001</v>
      </c>
      <c r="E3" s="3" t="s">
        <v>6002</v>
      </c>
    </row>
    <row r="4" spans="1:5">
      <c r="A4" t="s">
        <v>287</v>
      </c>
      <c r="B4" t="s">
        <v>6003</v>
      </c>
      <c r="C4" t="s">
        <v>6004</v>
      </c>
      <c r="D4" t="s">
        <v>6005</v>
      </c>
      <c r="E4" s="3" t="s">
        <v>6006</v>
      </c>
    </row>
  </sheetData>
  <dataValidations count="1">
    <dataValidation type="list" allowBlank="1" sqref="B2:B1048576" xr:uid="{00000000-0002-0000-0600-000000000000}">
      <formula1>"Sketch,Render,GFC Drawing,Report,Permit,Photo"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B34E-DCB6-4380-905E-AF0D46FDEAC5}">
  <sheetPr codeName="Sheet2"/>
  <dimension ref="A1:C22"/>
  <sheetViews>
    <sheetView workbookViewId="0">
      <selection activeCell="B15" sqref="B15"/>
    </sheetView>
  </sheetViews>
  <sheetFormatPr defaultRowHeight="14.45"/>
  <cols>
    <col min="1" max="1" width="33.5703125" customWidth="1"/>
    <col min="2" max="2" width="20.5703125" customWidth="1"/>
    <col min="3" max="3" width="23.5703125" customWidth="1"/>
  </cols>
  <sheetData>
    <row r="1" spans="1:3">
      <c r="A1" s="12" t="s">
        <v>6007</v>
      </c>
      <c r="B1" s="12">
        <v>208460</v>
      </c>
      <c r="C1" s="12">
        <v>70</v>
      </c>
    </row>
    <row r="2" spans="1:3">
      <c r="A2" s="12" t="s">
        <v>4</v>
      </c>
      <c r="B2" s="12">
        <v>134504</v>
      </c>
      <c r="C2" s="12">
        <v>60</v>
      </c>
    </row>
    <row r="3" spans="1:3">
      <c r="A3" s="12" t="s">
        <v>10</v>
      </c>
      <c r="B3" s="12">
        <v>54235</v>
      </c>
      <c r="C3" s="12">
        <v>90</v>
      </c>
    </row>
    <row r="4" spans="1:3">
      <c r="A4" s="12" t="s">
        <v>6008</v>
      </c>
      <c r="B4" s="12">
        <v>56903</v>
      </c>
      <c r="C4" s="12">
        <v>45</v>
      </c>
    </row>
    <row r="5" spans="1:3">
      <c r="A5" s="13"/>
      <c r="B5" s="12"/>
      <c r="C5" s="13"/>
    </row>
    <row r="6" spans="1:3">
      <c r="A6" s="14" t="s">
        <v>6009</v>
      </c>
      <c r="B6" s="12">
        <v>386212</v>
      </c>
      <c r="C6" s="14">
        <v>190</v>
      </c>
    </row>
    <row r="7" spans="1:3">
      <c r="A7" s="14" t="s">
        <v>6010</v>
      </c>
      <c r="B7" s="12">
        <v>299024</v>
      </c>
      <c r="C7" s="14">
        <v>258</v>
      </c>
    </row>
    <row r="8" spans="1:3">
      <c r="A8" s="14" t="s">
        <v>18</v>
      </c>
      <c r="B8" s="12">
        <v>353285</v>
      </c>
      <c r="C8" s="14">
        <v>218</v>
      </c>
    </row>
    <row r="9" spans="1:3">
      <c r="A9" s="14" t="s">
        <v>6011</v>
      </c>
      <c r="B9" s="12">
        <v>115971</v>
      </c>
      <c r="C9" s="14">
        <v>90</v>
      </c>
    </row>
    <row r="10" spans="1:3">
      <c r="A10" s="14" t="s">
        <v>6012</v>
      </c>
      <c r="B10" s="12">
        <v>155454</v>
      </c>
      <c r="C10" s="14">
        <v>110</v>
      </c>
    </row>
    <row r="11" spans="1:3">
      <c r="A11" s="14" t="s">
        <v>24</v>
      </c>
      <c r="B11" s="12">
        <v>455452</v>
      </c>
      <c r="C11" s="14">
        <v>100</v>
      </c>
    </row>
    <row r="12" spans="1:3">
      <c r="A12" s="14" t="s">
        <v>6013</v>
      </c>
      <c r="B12" s="12">
        <v>156498</v>
      </c>
      <c r="C12" s="14">
        <v>99</v>
      </c>
    </row>
    <row r="13" spans="1:3">
      <c r="A13" s="14" t="s">
        <v>34</v>
      </c>
      <c r="B13" s="12">
        <v>499690</v>
      </c>
      <c r="C13" s="14">
        <v>226</v>
      </c>
    </row>
    <row r="14" spans="1:3">
      <c r="A14" s="13"/>
      <c r="B14" s="12"/>
      <c r="C14" s="13"/>
    </row>
    <row r="15" spans="1:3">
      <c r="A15" s="15" t="s">
        <v>44</v>
      </c>
      <c r="B15" s="12">
        <v>112742</v>
      </c>
      <c r="C15" s="15">
        <v>170</v>
      </c>
    </row>
    <row r="16" spans="1:3">
      <c r="A16" s="15" t="s">
        <v>26</v>
      </c>
      <c r="B16" s="12">
        <v>160500</v>
      </c>
      <c r="C16" s="15">
        <v>141</v>
      </c>
    </row>
    <row r="17" spans="1:3">
      <c r="A17" s="15" t="s">
        <v>46</v>
      </c>
      <c r="B17" s="12">
        <v>38520</v>
      </c>
      <c r="C17" s="15">
        <v>127</v>
      </c>
    </row>
    <row r="18" spans="1:3">
      <c r="A18" s="15" t="s">
        <v>6014</v>
      </c>
      <c r="B18" s="12">
        <v>129898</v>
      </c>
      <c r="C18" s="15">
        <v>120</v>
      </c>
    </row>
    <row r="19" spans="1:3">
      <c r="A19" s="15" t="s">
        <v>48</v>
      </c>
      <c r="B19" s="12">
        <v>215200</v>
      </c>
      <c r="C19" s="15">
        <v>140</v>
      </c>
    </row>
    <row r="20" spans="1:3">
      <c r="A20" s="15" t="s">
        <v>50</v>
      </c>
      <c r="B20" s="12">
        <v>32280</v>
      </c>
      <c r="C20" s="15">
        <v>97</v>
      </c>
    </row>
    <row r="21" spans="1:3">
      <c r="A21" s="16" t="s">
        <v>40</v>
      </c>
      <c r="B21" s="329">
        <v>51433</v>
      </c>
      <c r="C21" s="330">
        <v>160</v>
      </c>
    </row>
    <row r="22" spans="1:3">
      <c r="A22" s="17" t="s">
        <v>6015</v>
      </c>
      <c r="B22" s="331"/>
      <c r="C22" s="332"/>
    </row>
  </sheetData>
  <mergeCells count="2">
    <mergeCell ref="B21:B22"/>
    <mergeCell ref="C21:C2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9AE4-075E-4C81-9C0F-5589E94FC98E}">
  <sheetPr codeName="Sheet11"/>
  <dimension ref="A1:B28"/>
  <sheetViews>
    <sheetView workbookViewId="0">
      <selection activeCell="B1" sqref="B1"/>
    </sheetView>
  </sheetViews>
  <sheetFormatPr defaultRowHeight="14.45"/>
  <cols>
    <col min="1" max="1" width="19.140625" customWidth="1"/>
  </cols>
  <sheetData>
    <row r="1" spans="1:2">
      <c r="A1" s="49" t="s">
        <v>2</v>
      </c>
      <c r="B1">
        <f>VLOOKUP(A1,'Projects Tracker'!B:G,4,1)</f>
        <v>0</v>
      </c>
    </row>
    <row r="2" spans="1:2" ht="43.5">
      <c r="A2" s="56" t="s">
        <v>4</v>
      </c>
    </row>
    <row r="3" spans="1:2">
      <c r="A3" s="58" t="s">
        <v>6</v>
      </c>
    </row>
    <row r="4" spans="1:2" ht="43.5">
      <c r="A4" s="59" t="s">
        <v>8</v>
      </c>
    </row>
    <row r="5" spans="1:2">
      <c r="A5" s="59" t="s">
        <v>10</v>
      </c>
    </row>
    <row r="6" spans="1:2">
      <c r="A6" s="59" t="s">
        <v>12</v>
      </c>
    </row>
    <row r="7" spans="1:2">
      <c r="A7" s="58" t="s">
        <v>14</v>
      </c>
    </row>
    <row r="8" spans="1:2">
      <c r="A8" s="58" t="s">
        <v>16</v>
      </c>
    </row>
    <row r="9" spans="1:2">
      <c r="A9" s="56" t="s">
        <v>18</v>
      </c>
    </row>
    <row r="10" spans="1:2">
      <c r="A10" s="49" t="s">
        <v>20</v>
      </c>
    </row>
    <row r="11" spans="1:2">
      <c r="A11" s="58" t="s">
        <v>22</v>
      </c>
    </row>
    <row r="12" spans="1:2">
      <c r="A12" s="49" t="s">
        <v>24</v>
      </c>
    </row>
    <row r="13" spans="1:2">
      <c r="A13" s="58" t="s">
        <v>26</v>
      </c>
    </row>
    <row r="14" spans="1:2">
      <c r="A14" s="58" t="s">
        <v>28</v>
      </c>
    </row>
    <row r="15" spans="1:2">
      <c r="A15" s="56" t="s">
        <v>30</v>
      </c>
    </row>
    <row r="16" spans="1:2">
      <c r="A16" s="58" t="s">
        <v>32</v>
      </c>
    </row>
    <row r="17" spans="1:1">
      <c r="A17" s="59" t="s">
        <v>34</v>
      </c>
    </row>
    <row r="18" spans="1:1">
      <c r="A18" s="58" t="s">
        <v>36</v>
      </c>
    </row>
    <row r="19" spans="1:1">
      <c r="A19" s="58" t="s">
        <v>38</v>
      </c>
    </row>
    <row r="20" spans="1:1">
      <c r="A20" s="49" t="s">
        <v>40</v>
      </c>
    </row>
    <row r="21" spans="1:1" ht="29.1">
      <c r="A21" s="49" t="s">
        <v>42</v>
      </c>
    </row>
    <row r="22" spans="1:1">
      <c r="A22" s="59" t="s">
        <v>44</v>
      </c>
    </row>
    <row r="23" spans="1:1">
      <c r="A23" s="59" t="s">
        <v>46</v>
      </c>
    </row>
    <row r="24" spans="1:1">
      <c r="A24" s="59" t="s">
        <v>48</v>
      </c>
    </row>
    <row r="25" spans="1:1">
      <c r="A25" s="59" t="s">
        <v>50</v>
      </c>
    </row>
    <row r="26" spans="1:1">
      <c r="A26" s="56" t="s">
        <v>52</v>
      </c>
    </row>
    <row r="27" spans="1:1">
      <c r="A27" s="56" t="s">
        <v>54</v>
      </c>
    </row>
    <row r="28" spans="1:1">
      <c r="A28" s="56" t="s">
        <v>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B471-32B9-4EC1-807B-5D056E523329}">
  <dimension ref="A1:J65"/>
  <sheetViews>
    <sheetView zoomScale="85" zoomScaleNormal="85" workbookViewId="0">
      <selection activeCell="E5" sqref="E5"/>
    </sheetView>
  </sheetViews>
  <sheetFormatPr defaultRowHeight="14.45"/>
  <cols>
    <col min="1" max="1" width="20.140625" bestFit="1" customWidth="1"/>
    <col min="2" max="2" width="15.5703125" bestFit="1" customWidth="1"/>
    <col min="3" max="3" width="10.85546875" bestFit="1" customWidth="1"/>
    <col min="4" max="4" width="9" customWidth="1"/>
    <col min="5" max="5" width="20.42578125" customWidth="1"/>
    <col min="6" max="6" width="11.5703125" bestFit="1" customWidth="1"/>
  </cols>
  <sheetData>
    <row r="1" spans="1:10">
      <c r="A1" s="22" t="s">
        <v>103</v>
      </c>
      <c r="B1" s="23" t="s">
        <v>192</v>
      </c>
      <c r="C1" s="23" t="s">
        <v>6016</v>
      </c>
      <c r="D1" s="23" t="s">
        <v>6017</v>
      </c>
      <c r="E1" s="23" t="s">
        <v>6018</v>
      </c>
      <c r="F1" s="24" t="s">
        <v>6019</v>
      </c>
    </row>
    <row r="2" spans="1:10">
      <c r="A2" s="25"/>
      <c r="B2" s="26" t="s">
        <v>6020</v>
      </c>
      <c r="C2" s="26"/>
      <c r="D2" s="26">
        <v>250</v>
      </c>
      <c r="E2" s="26">
        <v>5.5</v>
      </c>
      <c r="F2" s="24">
        <v>5.5</v>
      </c>
    </row>
    <row r="3" spans="1:10">
      <c r="A3" s="333" t="s">
        <v>281</v>
      </c>
      <c r="B3" s="20" t="s">
        <v>6021</v>
      </c>
      <c r="C3" s="20">
        <v>398430.967</v>
      </c>
      <c r="D3" s="20">
        <v>1206</v>
      </c>
      <c r="E3" s="20">
        <v>160</v>
      </c>
      <c r="F3" s="21">
        <v>20</v>
      </c>
      <c r="H3">
        <f>E3*10^7/C3</f>
        <v>4015.7521189862732</v>
      </c>
    </row>
    <row r="4" spans="1:10">
      <c r="A4" s="333"/>
      <c r="B4" s="20" t="s">
        <v>6022</v>
      </c>
      <c r="C4" s="20">
        <v>438546.24200000003</v>
      </c>
      <c r="D4" s="20">
        <v>1127</v>
      </c>
      <c r="E4" s="20">
        <v>200</v>
      </c>
      <c r="F4" s="21">
        <v>200</v>
      </c>
      <c r="H4">
        <f>E4*10^7/C4</f>
        <v>4560.5224910352781</v>
      </c>
      <c r="J4">
        <f>SUM(F2:F5)/SUM(E2:E5)</f>
        <v>0.48442534908700324</v>
      </c>
    </row>
    <row r="5" spans="1:10">
      <c r="A5" s="334"/>
      <c r="B5" s="20" t="s">
        <v>6023</v>
      </c>
      <c r="C5" s="20">
        <v>360791.51899999997</v>
      </c>
      <c r="D5" s="20">
        <v>1051</v>
      </c>
      <c r="E5" s="20">
        <v>100</v>
      </c>
      <c r="F5" s="21">
        <v>0</v>
      </c>
    </row>
    <row r="6" spans="1:10">
      <c r="A6" s="27" t="s">
        <v>6024</v>
      </c>
      <c r="B6" s="28" t="s">
        <v>6024</v>
      </c>
      <c r="C6" s="28" t="s">
        <v>6024</v>
      </c>
      <c r="D6" s="28" t="s">
        <v>6024</v>
      </c>
      <c r="E6" s="28" t="s">
        <v>6024</v>
      </c>
    </row>
    <row r="7" spans="1:10">
      <c r="A7" s="335" t="s">
        <v>6025</v>
      </c>
      <c r="B7" s="29" t="s">
        <v>6026</v>
      </c>
      <c r="C7" s="29">
        <v>423025.2</v>
      </c>
      <c r="D7" s="29">
        <v>850</v>
      </c>
      <c r="E7" s="29">
        <v>180</v>
      </c>
      <c r="F7" s="30">
        <v>105</v>
      </c>
    </row>
    <row r="8" spans="1:10">
      <c r="A8" s="336"/>
      <c r="B8" s="29" t="s">
        <v>6027</v>
      </c>
      <c r="C8" s="29">
        <v>322920</v>
      </c>
      <c r="D8" s="29">
        <v>850</v>
      </c>
      <c r="E8" s="29">
        <v>165</v>
      </c>
      <c r="F8" s="30">
        <f>7*9</f>
        <v>63</v>
      </c>
      <c r="J8">
        <f>SUM(F7:F11)/SUM(E7:E11)</f>
        <v>0.27722772277227725</v>
      </c>
    </row>
    <row r="9" spans="1:10">
      <c r="A9" s="27" t="s">
        <v>6024</v>
      </c>
      <c r="B9" s="28" t="s">
        <v>6024</v>
      </c>
      <c r="C9" s="28" t="s">
        <v>6024</v>
      </c>
      <c r="D9" s="28" t="s">
        <v>6024</v>
      </c>
      <c r="E9" s="28" t="s">
        <v>6024</v>
      </c>
    </row>
    <row r="10" spans="1:10">
      <c r="A10" s="337" t="s">
        <v>6028</v>
      </c>
      <c r="B10" s="31" t="s">
        <v>6029</v>
      </c>
      <c r="C10" s="31">
        <v>51432.800000000003</v>
      </c>
      <c r="D10" s="31">
        <v>1000</v>
      </c>
      <c r="E10" s="31">
        <v>160</v>
      </c>
      <c r="F10" s="30">
        <v>0</v>
      </c>
    </row>
    <row r="11" spans="1:10">
      <c r="A11" s="338"/>
      <c r="B11" s="31" t="s">
        <v>6030</v>
      </c>
      <c r="C11" s="31">
        <v>193680</v>
      </c>
      <c r="D11" s="31">
        <v>503</v>
      </c>
      <c r="E11" s="31">
        <v>101</v>
      </c>
      <c r="F11" s="30">
        <v>0</v>
      </c>
    </row>
    <row r="13" spans="1:10">
      <c r="C13">
        <f>SUM(C3:C12)/10^6</f>
        <v>2.188826728</v>
      </c>
      <c r="E13">
        <f>SUM(E2:E12)</f>
        <v>1071.5</v>
      </c>
      <c r="F13">
        <f>SUM(F2:F12)</f>
        <v>393.5</v>
      </c>
    </row>
    <row r="21" spans="1:6">
      <c r="A21" s="32" t="s">
        <v>103</v>
      </c>
      <c r="B21" s="32" t="s">
        <v>192</v>
      </c>
      <c r="C21" s="32" t="s">
        <v>6016</v>
      </c>
      <c r="D21" s="32" t="s">
        <v>6031</v>
      </c>
      <c r="F21" s="33" t="s">
        <v>6019</v>
      </c>
    </row>
    <row r="22" spans="1:6">
      <c r="A22" s="34" t="s">
        <v>281</v>
      </c>
      <c r="B22" s="34" t="s">
        <v>8</v>
      </c>
      <c r="C22" s="35">
        <v>208460.36015999998</v>
      </c>
      <c r="D22" s="34">
        <v>70</v>
      </c>
      <c r="E22" t="s">
        <v>6032</v>
      </c>
      <c r="F22" s="36">
        <v>25</v>
      </c>
    </row>
    <row r="23" spans="1:6">
      <c r="A23" s="34"/>
      <c r="B23" s="34" t="s">
        <v>4</v>
      </c>
      <c r="C23" s="35">
        <v>134503.71479999999</v>
      </c>
      <c r="D23" s="34">
        <v>60</v>
      </c>
      <c r="E23" t="s">
        <v>6033</v>
      </c>
      <c r="F23" s="36">
        <v>23.3</v>
      </c>
    </row>
    <row r="24" spans="1:6">
      <c r="A24" s="34"/>
      <c r="B24" s="34" t="s">
        <v>10</v>
      </c>
      <c r="C24" s="35">
        <v>54234.9522</v>
      </c>
      <c r="D24" s="34">
        <v>90</v>
      </c>
      <c r="E24" t="s">
        <v>6034</v>
      </c>
      <c r="F24" s="36">
        <v>16</v>
      </c>
    </row>
    <row r="25" spans="1:6">
      <c r="A25" s="34"/>
      <c r="B25" s="34" t="s">
        <v>6008</v>
      </c>
      <c r="C25" s="35">
        <f>5318*10.7</f>
        <v>56902.6</v>
      </c>
      <c r="D25" s="34">
        <v>45</v>
      </c>
      <c r="E25" t="s">
        <v>6035</v>
      </c>
      <c r="F25" s="36">
        <v>0</v>
      </c>
    </row>
    <row r="26" spans="1:6">
      <c r="A26" s="37"/>
      <c r="B26" s="37"/>
      <c r="C26" s="35"/>
      <c r="D26" s="37"/>
      <c r="F26" s="36"/>
    </row>
    <row r="27" spans="1:6">
      <c r="A27" s="38" t="s">
        <v>6036</v>
      </c>
      <c r="B27" s="38" t="s">
        <v>6009</v>
      </c>
      <c r="C27" s="35">
        <v>386212.31999999995</v>
      </c>
      <c r="D27" s="38">
        <v>190</v>
      </c>
      <c r="E27" t="s">
        <v>6037</v>
      </c>
      <c r="F27" s="36">
        <v>166.62</v>
      </c>
    </row>
    <row r="28" spans="1:6">
      <c r="A28" s="38"/>
      <c r="B28" s="38" t="s">
        <v>6010</v>
      </c>
      <c r="C28" s="35">
        <v>299023.92</v>
      </c>
      <c r="D28" s="38">
        <v>258</v>
      </c>
      <c r="E28" t="s">
        <v>6037</v>
      </c>
      <c r="F28" s="36">
        <v>100</v>
      </c>
    </row>
    <row r="29" spans="1:6">
      <c r="A29" s="38"/>
      <c r="B29" s="38" t="s">
        <v>18</v>
      </c>
      <c r="C29" s="35">
        <v>353285.24400000001</v>
      </c>
      <c r="D29" s="38">
        <v>218</v>
      </c>
      <c r="E29" t="s">
        <v>6038</v>
      </c>
      <c r="F29" s="36">
        <v>0</v>
      </c>
    </row>
    <row r="30" spans="1:6">
      <c r="A30" s="38"/>
      <c r="B30" s="38" t="s">
        <v>6011</v>
      </c>
      <c r="C30" s="35">
        <v>115971.336</v>
      </c>
      <c r="D30" s="38">
        <v>90</v>
      </c>
      <c r="E30" t="s">
        <v>6038</v>
      </c>
      <c r="F30" s="36">
        <v>102.45</v>
      </c>
    </row>
    <row r="31" spans="1:6">
      <c r="A31" s="38"/>
      <c r="B31" s="38" t="s">
        <v>6012</v>
      </c>
      <c r="C31" s="35">
        <v>155454</v>
      </c>
      <c r="D31" s="38">
        <v>110</v>
      </c>
      <c r="E31" t="s">
        <v>6039</v>
      </c>
      <c r="F31" s="36">
        <v>32.5</v>
      </c>
    </row>
    <row r="32" spans="1:6">
      <c r="A32" s="38"/>
      <c r="B32" s="38" t="s">
        <v>24</v>
      </c>
      <c r="C32" s="35">
        <f>159608*2</f>
        <v>319216</v>
      </c>
      <c r="D32" s="38">
        <v>160</v>
      </c>
      <c r="F32" s="36">
        <v>80</v>
      </c>
    </row>
    <row r="33" spans="1:6">
      <c r="A33" s="38"/>
      <c r="B33" s="38" t="s">
        <v>6013</v>
      </c>
      <c r="C33" s="35">
        <v>156497.796</v>
      </c>
      <c r="D33" s="38">
        <v>99</v>
      </c>
      <c r="E33" t="s">
        <v>6040</v>
      </c>
      <c r="F33" s="36">
        <v>15</v>
      </c>
    </row>
    <row r="34" spans="1:6">
      <c r="A34" s="38"/>
      <c r="B34" s="38" t="s">
        <v>34</v>
      </c>
      <c r="C34" s="35">
        <f>46700*10.7</f>
        <v>499689.99999999994</v>
      </c>
      <c r="D34" s="38">
        <v>226</v>
      </c>
      <c r="F34" s="36">
        <v>0</v>
      </c>
    </row>
    <row r="35" spans="1:6">
      <c r="A35" s="37"/>
      <c r="B35" s="37"/>
      <c r="C35" s="35"/>
      <c r="D35" s="37"/>
      <c r="F35" s="36"/>
    </row>
    <row r="36" spans="1:6">
      <c r="A36" s="39" t="s">
        <v>6041</v>
      </c>
      <c r="B36" s="39" t="s">
        <v>44</v>
      </c>
      <c r="C36" s="35">
        <v>112742.136</v>
      </c>
      <c r="D36" s="39">
        <v>170</v>
      </c>
      <c r="F36" s="36">
        <v>0</v>
      </c>
    </row>
    <row r="37" spans="1:6">
      <c r="A37" s="39"/>
      <c r="B37" s="39" t="s">
        <v>26</v>
      </c>
      <c r="C37" s="35">
        <f>15000*10.7</f>
        <v>160500</v>
      </c>
      <c r="D37" s="39">
        <v>141</v>
      </c>
      <c r="F37" s="36">
        <v>0</v>
      </c>
    </row>
    <row r="38" spans="1:6">
      <c r="A38" s="10"/>
      <c r="B38" s="39" t="s">
        <v>46</v>
      </c>
      <c r="C38" s="35">
        <f>3600*10.7</f>
        <v>38520</v>
      </c>
      <c r="D38" s="39">
        <v>127</v>
      </c>
      <c r="F38" s="36">
        <v>0</v>
      </c>
    </row>
    <row r="39" spans="1:6">
      <c r="A39" s="10"/>
      <c r="B39" s="39" t="s">
        <v>6014</v>
      </c>
      <c r="C39" s="35">
        <f>12140*10.7</f>
        <v>129897.99999999999</v>
      </c>
      <c r="D39" s="39">
        <v>120</v>
      </c>
      <c r="F39" s="36">
        <v>0</v>
      </c>
    </row>
    <row r="40" spans="1:6">
      <c r="A40" s="10"/>
      <c r="B40" s="39" t="s">
        <v>48</v>
      </c>
      <c r="C40" s="35">
        <f>20000*10.76</f>
        <v>215200</v>
      </c>
      <c r="D40" s="39">
        <v>140</v>
      </c>
      <c r="F40" s="36">
        <v>0</v>
      </c>
    </row>
    <row r="41" spans="1:6">
      <c r="A41" s="10"/>
      <c r="B41" s="39" t="s">
        <v>50</v>
      </c>
      <c r="C41" s="35">
        <f>3000*10.76</f>
        <v>32280</v>
      </c>
      <c r="D41" s="39">
        <v>97</v>
      </c>
      <c r="F41" s="36">
        <v>0</v>
      </c>
    </row>
    <row r="42" spans="1:6">
      <c r="A42" s="10"/>
      <c r="B42" s="39" t="s">
        <v>6042</v>
      </c>
      <c r="C42" s="35"/>
      <c r="D42" s="39"/>
      <c r="F42" s="36">
        <v>100</v>
      </c>
    </row>
    <row r="43" spans="1:6">
      <c r="B43" s="40" t="s">
        <v>6043</v>
      </c>
      <c r="C43">
        <v>10000</v>
      </c>
      <c r="D43" s="40">
        <v>7.5</v>
      </c>
      <c r="F43" s="36">
        <v>7.5</v>
      </c>
    </row>
    <row r="44" spans="1:6">
      <c r="B44" s="40" t="s">
        <v>6044</v>
      </c>
      <c r="C44">
        <f>100*10^7/7500</f>
        <v>133333.33333333334</v>
      </c>
      <c r="D44" s="40">
        <v>100</v>
      </c>
      <c r="F44" s="36">
        <f>189-80</f>
        <v>109</v>
      </c>
    </row>
    <row r="45" spans="1:6">
      <c r="F45" s="36"/>
    </row>
    <row r="46" spans="1:6">
      <c r="C46" s="41">
        <f>SUM(C22:C44)/10^6</f>
        <v>3.571925712493333</v>
      </c>
      <c r="D46">
        <f>SUM(D22:D44)</f>
        <v>2518.5</v>
      </c>
      <c r="F46" s="36">
        <f>SUM(F22:F44)</f>
        <v>777.37</v>
      </c>
    </row>
    <row r="47" spans="1:6">
      <c r="F47" s="36"/>
    </row>
    <row r="48" spans="1:6">
      <c r="F48" s="36"/>
    </row>
    <row r="49" spans="2:7">
      <c r="B49" t="s">
        <v>6045</v>
      </c>
      <c r="C49">
        <f>D46+[1]Hostel!E33</f>
        <v>2518.5</v>
      </c>
      <c r="F49" s="36"/>
    </row>
    <row r="50" spans="2:7">
      <c r="B50" t="s">
        <v>6046</v>
      </c>
      <c r="C50">
        <f>F46+[1]Hostel!F33</f>
        <v>777.37</v>
      </c>
      <c r="F50" s="36"/>
    </row>
    <row r="51" spans="2:7">
      <c r="F51" s="36"/>
    </row>
    <row r="52" spans="2:7">
      <c r="E52" s="36" t="s">
        <v>6047</v>
      </c>
      <c r="F52" s="36" t="s">
        <v>6019</v>
      </c>
    </row>
    <row r="53" spans="2:7">
      <c r="B53" t="s">
        <v>6048</v>
      </c>
      <c r="C53" s="42">
        <f>C46+[1]Hostel!C33</f>
        <v>3.571925712493333</v>
      </c>
      <c r="F53" s="36"/>
    </row>
    <row r="54" spans="2:7">
      <c r="B54" t="s">
        <v>6049</v>
      </c>
      <c r="C54" s="43">
        <f>SUM(C22:C25)+SUM([1]Hostel!C23:C25)</f>
        <v>454101.62715999997</v>
      </c>
      <c r="E54">
        <f>SUM(D22:D25)+SUM([1]Hostel!E23:E25)</f>
        <v>265</v>
      </c>
      <c r="F54" s="36">
        <f>SUM(F22:F25)+SUM([1]Hostel!F23:F25)</f>
        <v>64.3</v>
      </c>
      <c r="G54" s="44">
        <f>F54/E54</f>
        <v>0.24264150943396226</v>
      </c>
    </row>
    <row r="55" spans="2:7">
      <c r="B55" t="s">
        <v>6050</v>
      </c>
      <c r="C55" s="43">
        <f>SUM(C27:C34)+SUM([1]Hostel!C27:C28)</f>
        <v>2285350.6159999999</v>
      </c>
      <c r="E55">
        <f>SUM(D27:D34)+SUM([1]Hostel!E27:E28)</f>
        <v>1351</v>
      </c>
      <c r="F55" s="36">
        <f>SUM(F27:F34)+SUM([1]Hostel!F27:F28)+F42+F43+F44</f>
        <v>713.06999999999994</v>
      </c>
      <c r="G55" s="44">
        <f>F55/E55</f>
        <v>0.5278090303478904</v>
      </c>
    </row>
    <row r="56" spans="2:7">
      <c r="B56" t="s">
        <v>6028</v>
      </c>
      <c r="C56" s="43">
        <f>SUM(C36:C42)+SUM([1]Hostel!C30:C31)</f>
        <v>689140.13599999994</v>
      </c>
      <c r="E56">
        <f>SUM(D36:D42)+SUM([1]Hostel!E30:E31)</f>
        <v>795</v>
      </c>
      <c r="F56" s="36">
        <v>0</v>
      </c>
      <c r="G56" s="44">
        <f>F56/E56</f>
        <v>0</v>
      </c>
    </row>
    <row r="57" spans="2:7">
      <c r="B57" t="s">
        <v>6051</v>
      </c>
      <c r="C57" s="45">
        <f>F46*10^7/7000</f>
        <v>1110528.5714285714</v>
      </c>
      <c r="F57" s="36"/>
    </row>
    <row r="58" spans="2:7">
      <c r="B58" t="s">
        <v>6052</v>
      </c>
      <c r="C58" s="45">
        <f>[1]Hostel!F33*10^7/4000</f>
        <v>0</v>
      </c>
      <c r="F58" s="36"/>
    </row>
    <row r="59" spans="2:7">
      <c r="F59" s="36"/>
    </row>
    <row r="60" spans="2:7">
      <c r="F60" s="36"/>
    </row>
    <row r="61" spans="2:7">
      <c r="F61" s="36"/>
    </row>
    <row r="62" spans="2:7">
      <c r="F62" s="36"/>
    </row>
    <row r="63" spans="2:7">
      <c r="F63" s="36"/>
    </row>
    <row r="64" spans="2:7">
      <c r="F64" s="36"/>
    </row>
    <row r="65" spans="6:6">
      <c r="F65" s="36"/>
    </row>
  </sheetData>
  <mergeCells count="3">
    <mergeCell ref="A3:A5"/>
    <mergeCell ref="A7:A8"/>
    <mergeCell ref="A10:A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A9F0F5D934604FB5C826E6D493FA4E" ma:contentTypeVersion="13" ma:contentTypeDescription="Create a new document." ma:contentTypeScope="" ma:versionID="214eafaf3707d4bee4150dab765b8d48">
  <xsd:schema xmlns:xsd="http://www.w3.org/2001/XMLSchema" xmlns:xs="http://www.w3.org/2001/XMLSchema" xmlns:p="http://schemas.microsoft.com/office/2006/metadata/properties" xmlns:ns2="13dbb1ff-40b7-4d55-a6cd-02af0d1cc2ba" xmlns:ns3="ee532bfe-95b7-430c-b5cb-fc5f398d828f" targetNamespace="http://schemas.microsoft.com/office/2006/metadata/properties" ma:root="true" ma:fieldsID="d3f218633d5bce03a85592856d5c5555" ns2:_="" ns3:_="">
    <xsd:import namespace="13dbb1ff-40b7-4d55-a6cd-02af0d1cc2ba"/>
    <xsd:import namespace="ee532bfe-95b7-430c-b5cb-fc5f398d8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dbb1ff-40b7-4d55-a6cd-02af0d1cc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2bcbdce-8c7f-40b3-92dd-2932a65ff5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32bfe-95b7-430c-b5cb-fc5f398d828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535bb5d-1a3b-43f7-a892-882ffd011b3a}" ma:internalName="TaxCatchAll" ma:showField="CatchAllData" ma:web="ee532bfe-95b7-430c-b5cb-fc5f398d82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532bfe-95b7-430c-b5cb-fc5f398d828f" xsi:nil="true"/>
    <lcf76f155ced4ddcb4097134ff3c332f xmlns="13dbb1ff-40b7-4d55-a6cd-02af0d1cc2b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BF6FFD-6968-4BD5-AD99-A92D014E54D1}"/>
</file>

<file path=customXml/itemProps2.xml><?xml version="1.0" encoding="utf-8"?>
<ds:datastoreItem xmlns:ds="http://schemas.openxmlformats.org/officeDocument/2006/customXml" ds:itemID="{B674617D-82C3-4541-AA01-4B7D9331DB86}"/>
</file>

<file path=customXml/itemProps3.xml><?xml version="1.0" encoding="utf-8"?>
<ds:datastoreItem xmlns:ds="http://schemas.openxmlformats.org/officeDocument/2006/customXml" ds:itemID="{56D591FD-4664-4FD2-BAD8-C75205459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Siddhant Gupta</cp:lastModifiedBy>
  <cp:revision/>
  <dcterms:created xsi:type="dcterms:W3CDTF">2025-12-29T09:27:59Z</dcterms:created>
  <dcterms:modified xsi:type="dcterms:W3CDTF">2026-02-19T09:04:37Z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0x010100BFA9F0F5D934604FB5C826E6D493FA4E</vt:lpwstr>
  </property>
  <property fmtid="{D5CDD505-2E9C-101B-9397-08002B2CF9AE}" pid="3" name="MediaServiceImageTags">
    <vt:lpwstr/>
  </property>
</Properties>
</file>